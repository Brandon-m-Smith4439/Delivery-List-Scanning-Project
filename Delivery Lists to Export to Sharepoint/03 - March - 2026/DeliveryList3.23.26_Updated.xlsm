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I:\BAREFOOT-INSTALL\Glass Production\Brandon\Lists for Sharepoint\March - 2026\"/>
    </mc:Choice>
  </mc:AlternateContent>
  <xr:revisionPtr revIDLastSave="0" documentId="8_{B61F3756-07DD-4CF5-98D3-113CE648EFBE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Utility Panel" sheetId="29" r:id="rId1"/>
    <sheet name="Delivery List" sheetId="591" r:id="rId2"/>
    <sheet name="Staging - Airport Rd" sheetId="598" r:id="rId3"/>
    <sheet name="Outbound - Airport Rd" sheetId="599" r:id="rId4"/>
    <sheet name="Inbound - Indian Trail" sheetId="600" r:id="rId5"/>
    <sheet name="__ChangeAudit" sheetId="10" state="veryHidden" r:id="rId6"/>
  </sheets>
  <functionGroups builtInGroupCount="19"/>
  <definedNames>
    <definedName name="_DeliveryEditMode">FALSE</definedName>
    <definedName name="_LastScanHighlight_DELIVERY_LIST">75</definedName>
    <definedName name="_LastScanHighlight_INBOUND___GREENVILLE">121</definedName>
    <definedName name="_LastScanHighlight_INBOUND___INDIAN_TRAIL">92</definedName>
    <definedName name="_LastScanHighlight_OUTBOUND___AIRPORT_RD">121</definedName>
    <definedName name="_LastScanHighlight_STAGING___AIRPORT_RD">75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" i="600" l="1"/>
  <c r="X2" i="600"/>
  <c r="O2" i="600"/>
  <c r="AO2" i="599"/>
  <c r="X2" i="599"/>
  <c r="O2" i="599"/>
  <c r="AO2" i="598"/>
  <c r="X2" i="598"/>
  <c r="O2" i="598"/>
  <c r="AO2" i="591"/>
  <c r="X2" i="591"/>
  <c r="O2" i="591"/>
</calcChain>
</file>

<file path=xl/sharedStrings.xml><?xml version="1.0" encoding="utf-8"?>
<sst xmlns="http://schemas.openxmlformats.org/spreadsheetml/2006/main" count="2790" uniqueCount="268">
  <si>
    <t>DELIVERY LIST FOR</t>
  </si>
  <si>
    <t>Job Nr.</t>
  </si>
  <si>
    <t>Order Nr.</t>
  </si>
  <si>
    <t>Item Nr.</t>
  </si>
  <si>
    <t>Qty.</t>
  </si>
  <si>
    <t>Dimensions</t>
  </si>
  <si>
    <t>Customer</t>
  </si>
  <si>
    <t>1/4" Mirror</t>
  </si>
  <si>
    <t>3/8" Clear Tempered</t>
  </si>
  <si>
    <t>Most Recent Scan:</t>
  </si>
  <si>
    <t>Barcode</t>
  </si>
  <si>
    <t>Qty Scanned</t>
  </si>
  <si>
    <t>Date &amp; Time Scanned</t>
  </si>
  <si>
    <t>Check</t>
  </si>
  <si>
    <t>Delivery Timing</t>
  </si>
  <si>
    <t>Comments</t>
  </si>
  <si>
    <t>Barcode Received</t>
  </si>
  <si>
    <t>Order Nr. Received</t>
  </si>
  <si>
    <t>Item Nr. Received</t>
  </si>
  <si>
    <t>Qty Received</t>
  </si>
  <si>
    <t>Date &amp; Time Received</t>
  </si>
  <si>
    <t>Received Check</t>
  </si>
  <si>
    <t>Bay Nr.</t>
  </si>
  <si>
    <t>29" x 36"</t>
  </si>
  <si>
    <t>DR HORTON</t>
  </si>
  <si>
    <t>22" x 36"</t>
  </si>
  <si>
    <t>LENNAR HOMES</t>
  </si>
  <si>
    <t>TRUE HOMES LLC  ****</t>
  </si>
  <si>
    <t>82" x 42"</t>
  </si>
  <si>
    <t>75" x 42"</t>
  </si>
  <si>
    <t>CurrentChangeKey</t>
  </si>
  <si>
    <t>ChangedBy</t>
  </si>
  <si>
    <t>ChangedAt</t>
  </si>
  <si>
    <t>User</t>
  </si>
  <si>
    <t>SeenChangeKey</t>
  </si>
  <si>
    <t>daniel.mcabee</t>
  </si>
  <si>
    <t>Actions</t>
  </si>
  <si>
    <t>Navigation</t>
  </si>
  <si>
    <t>Utility Panel</t>
  </si>
  <si>
    <t>Outbound - Airport Rd</t>
  </si>
  <si>
    <t>Staging - Airport Rd</t>
  </si>
  <si>
    <t>Inbound - Indian Trail</t>
  </si>
  <si>
    <t>MATTAMY HOMES</t>
  </si>
  <si>
    <t>63" x 42"</t>
  </si>
  <si>
    <t>40" x 42"</t>
  </si>
  <si>
    <t>EASTWOOD</t>
  </si>
  <si>
    <t>BEECHWOOD NCGC LLC</t>
  </si>
  <si>
    <t>62" x 42"</t>
  </si>
  <si>
    <t>71" x 42"</t>
  </si>
  <si>
    <t>60" x 54"</t>
  </si>
  <si>
    <t>94" x 36"</t>
  </si>
  <si>
    <t>48" x 42"</t>
  </si>
  <si>
    <t>MUNGO HOMES</t>
  </si>
  <si>
    <t>64" x 42"</t>
  </si>
  <si>
    <t>EMPIRE COMMUNITIES</t>
  </si>
  <si>
    <t>1/8" Clear Annealed</t>
  </si>
  <si>
    <t>20260320_075525</t>
  </si>
  <si>
    <t>Use the buttons below to import a new delivery list, update an existing list, save a SharePoint copy, sync scanner sheets, and jump directly to the working tabs.</t>
  </si>
  <si>
    <t>PopupUser</t>
  </si>
  <si>
    <t>PopupNoticeKey</t>
  </si>
  <si>
    <t>SeenAt</t>
  </si>
  <si>
    <t>EDIT_MODE_WARNING_V1</t>
  </si>
  <si>
    <t>Route</t>
  </si>
  <si>
    <t>OK</t>
  </si>
  <si>
    <t xml:space="preserve"> 3/23/2026
</t>
  </si>
  <si>
    <t>1/4" Hollywood Antique Mirror</t>
  </si>
  <si>
    <t>86865253M 626 LANSDOWNE</t>
  </si>
  <si>
    <t>21 1/2" x 47 15/16"</t>
  </si>
  <si>
    <t>COPPER BLDRS INC</t>
  </si>
  <si>
    <t>Clone: 86284523M.2</t>
  </si>
  <si>
    <t>78 5/8" x 23 5/8"</t>
  </si>
  <si>
    <t>A3 CUSTOM HOMES LLC</t>
  </si>
  <si>
    <t>Clone: 86568240M 2208 OVERHILL</t>
  </si>
  <si>
    <t>75 7/16" x 23 7/16"</t>
  </si>
  <si>
    <t>75 7/16" x 23 7/8"</t>
  </si>
  <si>
    <t>86024403M STONEBRIDGE 225</t>
  </si>
  <si>
    <t>86268546M PINES 217</t>
  </si>
  <si>
    <t>TOLL BROTHERS</t>
  </si>
  <si>
    <t>85469361M CAMBER WOODS 69</t>
  </si>
  <si>
    <t>102" x 42"</t>
  </si>
  <si>
    <t>85509025M SYLVAN CREEK 29</t>
  </si>
  <si>
    <t>85578194M STAFFORD 311</t>
  </si>
  <si>
    <t>60" x 42"</t>
  </si>
  <si>
    <t>TAYLOR MORRIS BF AFTERPAINT</t>
  </si>
  <si>
    <t>85737902M SYLVAN CREEK 36</t>
  </si>
  <si>
    <t>85738802M SYLVAN CREEK 34</t>
  </si>
  <si>
    <t>85739194M WESTPORT 770</t>
  </si>
  <si>
    <t>85894333M STANTON 53</t>
  </si>
  <si>
    <t>86004138M REDHAWK ENCLAVE 106</t>
  </si>
  <si>
    <t>64 1/2" x 42"</t>
  </si>
  <si>
    <t>66 1/2" x 42"</t>
  </si>
  <si>
    <t>86004391M REDHAWK WALK 196</t>
  </si>
  <si>
    <t>86004485M REDHAWK WALK 203</t>
  </si>
  <si>
    <t>86483182M PIPER CREEK 14</t>
  </si>
  <si>
    <t>46" x 42"</t>
  </si>
  <si>
    <t>86543639M ADALYN PARK 8</t>
  </si>
  <si>
    <t>NIBLOCK DEVELOP</t>
  </si>
  <si>
    <t>76" x 42"</t>
  </si>
  <si>
    <t>86598566M PIPER CREEK 15</t>
  </si>
  <si>
    <t>86882988M ROBINSON OAKS 417</t>
  </si>
  <si>
    <t>86889460M STANTON 74</t>
  </si>
  <si>
    <t>86889705M 1027 TREMBETH DR</t>
  </si>
  <si>
    <t>24" x 44 1/2"</t>
  </si>
  <si>
    <t>VISTA DEV &amp; CONST ****</t>
  </si>
  <si>
    <t>57" x 44 1/2"</t>
  </si>
  <si>
    <t>60" x 44 1/2"</t>
  </si>
  <si>
    <t>86889925M 1023 TREMBETH DR</t>
  </si>
  <si>
    <t>60 1/4" x 44 1/2"</t>
  </si>
  <si>
    <t>84899360M.2 ROBINSON OAKS 408</t>
  </si>
  <si>
    <t>85738828M.2 REEDY CREEK 53</t>
  </si>
  <si>
    <t>86758389M.2 325 MAINSAIL</t>
  </si>
  <si>
    <t>80" x 42"</t>
  </si>
  <si>
    <t>TRUFORGE</t>
  </si>
  <si>
    <t>84737874M.2 CHASEWOOD 57</t>
  </si>
  <si>
    <t>118" x 42"</t>
  </si>
  <si>
    <t>85457425M LAURELBROOK 775</t>
  </si>
  <si>
    <t>85894582M.2 SECREST COMMONS 57</t>
  </si>
  <si>
    <t>85927574M BOULDER RIDGE 168</t>
  </si>
  <si>
    <t>27" x 36"</t>
  </si>
  <si>
    <t>M/I HOMES</t>
  </si>
  <si>
    <t>74" x 36"</t>
  </si>
  <si>
    <t>85927602M BOULDER RIDGE 167</t>
  </si>
  <si>
    <t>72" x 36"</t>
  </si>
  <si>
    <t>42" x 36"</t>
  </si>
  <si>
    <t>33" x 36"</t>
  </si>
  <si>
    <t>85927629M CANTERBURY STATION 13</t>
  </si>
  <si>
    <t>86004290M REDHAWK WALK 28</t>
  </si>
  <si>
    <t>86004620M REDHAWK WALK 204</t>
  </si>
  <si>
    <t>86140014M REDHAWK WALK 31</t>
  </si>
  <si>
    <t>86508371M CANNON VILLAGE 45</t>
  </si>
  <si>
    <t>63" x 36"</t>
  </si>
  <si>
    <t>86870026M TWINKIE CPU</t>
  </si>
  <si>
    <t>18 1/2" x 75 5/8"</t>
  </si>
  <si>
    <t>TWINKIE</t>
  </si>
  <si>
    <t>19 1/2" x 62 7/8"</t>
  </si>
  <si>
    <t>86878109M ROCKY RIVER 79</t>
  </si>
  <si>
    <t>35 3/4" x 66 9/16"</t>
  </si>
  <si>
    <t>KOLTER HOMES</t>
  </si>
  <si>
    <t>85801356M.3 WADE ARDLEY 19</t>
  </si>
  <si>
    <t>86878032M JOHN ROGERS</t>
  </si>
  <si>
    <t>7 3/8" x 36 3/8"</t>
  </si>
  <si>
    <t>John Rogers</t>
  </si>
  <si>
    <t>86024403 STONEBRIDGE 225</t>
  </si>
  <si>
    <t>80" x 29 3/4"</t>
  </si>
  <si>
    <t>79 9/16" x 28"</t>
  </si>
  <si>
    <t>86268546 PINES 217</t>
  </si>
  <si>
    <t>29 1/16" x 84"</t>
  </si>
  <si>
    <t>83 1/2" x 28 1/4"</t>
  </si>
  <si>
    <t>86413166 LAKE DAVIDSON 26</t>
  </si>
  <si>
    <t>79 1/2" x 32 1/8"</t>
  </si>
  <si>
    <t>EPCON COMMUNITIES ****</t>
  </si>
  <si>
    <t>86413304 HERITAGE 50</t>
  </si>
  <si>
    <t>30 3/8" x 78"</t>
  </si>
  <si>
    <t>JCH CONSTRUCTION LLC *</t>
  </si>
  <si>
    <t>79 1/4" x 61 7/16"</t>
  </si>
  <si>
    <t>86413304.2 HERITAGE 50</t>
  </si>
  <si>
    <t>28 1/16" x 79 1/2"</t>
  </si>
  <si>
    <t>80" x 36"</t>
  </si>
  <si>
    <t>86413304.3 HERITAGE 50</t>
  </si>
  <si>
    <t>36 5/16" x 80 1/16"</t>
  </si>
  <si>
    <t>86667565 2009 TAILWOOD</t>
  </si>
  <si>
    <t>79 1/4" x 8 5/8"</t>
  </si>
  <si>
    <t>28" x 78 3/16"</t>
  </si>
  <si>
    <t>20 7/16" x 79 7/16"</t>
  </si>
  <si>
    <t>56 5/16" x 79 25/32"</t>
  </si>
  <si>
    <t>86705568 HERITAGE 19</t>
  </si>
  <si>
    <t>79 1/4" x 39 7/8"</t>
  </si>
  <si>
    <t>30" x 78"</t>
  </si>
  <si>
    <t>39 13/16" x 79 3/16"</t>
  </si>
  <si>
    <t>86705568.2 HERITAGE 19</t>
  </si>
  <si>
    <t>28" x 79 9/16"</t>
  </si>
  <si>
    <t>80 3/16" x 38 1/8"</t>
  </si>
  <si>
    <t>86824488 8712 SOUTHSHORE</t>
  </si>
  <si>
    <t>48 3/16" x 83 7/8"</t>
  </si>
  <si>
    <t>Helena Raines</t>
  </si>
  <si>
    <t>86826007 131 NORMANDY</t>
  </si>
  <si>
    <t>81 1/2" x 30"</t>
  </si>
  <si>
    <t>CHAD GOODIN SIGNATURE HOMES I</t>
  </si>
  <si>
    <t>12" x 82"</t>
  </si>
  <si>
    <t>82" x 68 11/16"</t>
  </si>
  <si>
    <t>78873851.2R LAKESIDE 27</t>
  </si>
  <si>
    <t>41 9/16" x 80 3/16"</t>
  </si>
  <si>
    <t>85127078.2 ROBINSON OAKS 417</t>
  </si>
  <si>
    <t>29 1/2" x 80 5/16"</t>
  </si>
  <si>
    <t>86735867.2 18210 HARBOR</t>
  </si>
  <si>
    <t>29" x 84"</t>
  </si>
  <si>
    <t>SHERI TRIECHEL</t>
  </si>
  <si>
    <t>T200231338001000</t>
  </si>
  <si>
    <t>On-Time</t>
  </si>
  <si>
    <t>T200231449001000</t>
  </si>
  <si>
    <t>T200231450001000</t>
  </si>
  <si>
    <t>T200231450002000</t>
  </si>
  <si>
    <t>T200231451001000</t>
  </si>
  <si>
    <t>T200231451002000</t>
  </si>
  <si>
    <t>T200231452001000</t>
  </si>
  <si>
    <t>T200231452002000</t>
  </si>
  <si>
    <t>T200231453001000</t>
  </si>
  <si>
    <t>T200231453002000</t>
  </si>
  <si>
    <t>Partial 1/2</t>
  </si>
  <si>
    <t>T200231454001000</t>
  </si>
  <si>
    <t>T200231454002000</t>
  </si>
  <si>
    <t>T200231455001000</t>
  </si>
  <si>
    <t>T200231457001000</t>
  </si>
  <si>
    <t>T200231457002000</t>
  </si>
  <si>
    <t>T200231458001000</t>
  </si>
  <si>
    <t>T200231458002000</t>
  </si>
  <si>
    <t>T200231459001000</t>
  </si>
  <si>
    <t>T200231461001000</t>
  </si>
  <si>
    <t>T200231461002000</t>
  </si>
  <si>
    <t>T200231462001000</t>
  </si>
  <si>
    <t>T200231462002000</t>
  </si>
  <si>
    <t>T200231462003000</t>
  </si>
  <si>
    <t>T200231463001000</t>
  </si>
  <si>
    <t>T200231463002000</t>
  </si>
  <si>
    <t>T200231464001000</t>
  </si>
  <si>
    <t>T200231465001000</t>
  </si>
  <si>
    <t>T200231466001000</t>
  </si>
  <si>
    <t>T200231466002000</t>
  </si>
  <si>
    <t>T200231466003000</t>
  </si>
  <si>
    <t>T200231467001000</t>
  </si>
  <si>
    <t>T200231467002000</t>
  </si>
  <si>
    <t>T200231467003000</t>
  </si>
  <si>
    <t>T200231468001000</t>
  </si>
  <si>
    <t>T200231469001000</t>
  </si>
  <si>
    <t>T200231470001000</t>
  </si>
  <si>
    <t>T200231471001000</t>
  </si>
  <si>
    <t>T200231476001000</t>
  </si>
  <si>
    <t>T200231476002000</t>
  </si>
  <si>
    <t>T200231477001000</t>
  </si>
  <si>
    <t>T200231478001000</t>
  </si>
  <si>
    <t>T200231478002000</t>
  </si>
  <si>
    <t>T200231479001000</t>
  </si>
  <si>
    <t>T200231479002000</t>
  </si>
  <si>
    <t>T200231479003000</t>
  </si>
  <si>
    <t>T200231480001000</t>
  </si>
  <si>
    <t>T200231481001000</t>
  </si>
  <si>
    <t>T200231482001000</t>
  </si>
  <si>
    <t>T200231483001000</t>
  </si>
  <si>
    <t>T200231484001000</t>
  </si>
  <si>
    <t>T200231486001000</t>
  </si>
  <si>
    <t>T200231487001000</t>
  </si>
  <si>
    <t>T200231297001000</t>
  </si>
  <si>
    <t>T200231297002000</t>
  </si>
  <si>
    <t>T200231298001000</t>
  </si>
  <si>
    <t>T200231298002000</t>
  </si>
  <si>
    <t>T200231299001000</t>
  </si>
  <si>
    <t>T200231300002000</t>
  </si>
  <si>
    <t>T200231301001000</t>
  </si>
  <si>
    <t>T200231301002000</t>
  </si>
  <si>
    <t>T200231302001000</t>
  </si>
  <si>
    <t>T200231302002000</t>
  </si>
  <si>
    <t>T200231303001000</t>
  </si>
  <si>
    <t>T200231303002000</t>
  </si>
  <si>
    <t>T200231303003000</t>
  </si>
  <si>
    <t>T200231304001000</t>
  </si>
  <si>
    <t>T200231304002000</t>
  </si>
  <si>
    <t>T200231304003000</t>
  </si>
  <si>
    <t>T200231305001000</t>
  </si>
  <si>
    <t>T200231305002000</t>
  </si>
  <si>
    <t>T200231307001000</t>
  </si>
  <si>
    <t>T200231309001000</t>
  </si>
  <si>
    <t>T200231309002000</t>
  </si>
  <si>
    <t>T200231309003000</t>
  </si>
  <si>
    <t>T200231473001000</t>
  </si>
  <si>
    <t>T200231474002000</t>
  </si>
  <si>
    <t>T200231475001000</t>
  </si>
  <si>
    <t>T200231300001000</t>
  </si>
  <si>
    <t>UPDATE_COMPLETE_NOTICE_V1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</si>
</sst>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;#"/>
    <numFmt numFmtId="165" formatCode="m/d/yyyy\ h:mm\ AM/PM"/>
    <numFmt numFmtId="166" formatCode="h\.mm\ "/>
  </numFmts>
  <fonts count="17" x14ac:knownFonts="1">
    <font>
      <sz val="10"/>
      <color rgb="FF000000"/>
      <name val="ARIAL"/>
      <charset val="1"/>
    </font>
    <font>
      <b/>
      <sz val="20"/>
      <color rgb="FF000000"/>
      <name val="Arial"/>
      <family val="16"/>
      <charset val="1"/>
    </font>
    <font>
      <b/>
      <sz val="10"/>
      <color rgb="FF000000"/>
      <name val="Arial"/>
      <family val="16"/>
      <charset val="1"/>
    </font>
    <font>
      <sz val="8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16"/>
      <charset val="1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10"/>
      <color rgb="FF9C6500"/>
      <name val="Arial"/>
      <family val="2"/>
    </font>
    <font>
      <b/>
      <sz val="10"/>
      <color rgb="FF0061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C6EFCE"/>
        <bgColor rgb="FF000000"/>
      </patternFill>
    </fill>
    <fill>
      <patternFill patternType="solid">
        <fgColor rgb="FFFFF2CC"/>
        <bgColor rgb="FF000000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56">
    <xf numFmtId="0" fontId="0" fillId="0" borderId="0" xfId="0"/>
    <xf numFmtId="22" fontId="0" fillId="0" borderId="0" xfId="0" applyNumberFormat="1"/>
    <xf numFmtId="0" fontId="4" fillId="0" borderId="1" xfId="1" applyBorder="1" applyAlignment="1" applyProtection="1">
      <alignment horizontal="center" vertical="center"/>
      <protection locked="0"/>
    </xf>
    <xf numFmtId="0" fontId="4" fillId="0" borderId="0" xfId="1" applyProtection="1">
      <protection locked="0"/>
    </xf>
    <xf numFmtId="0" fontId="4" fillId="0" borderId="0" xfId="1" applyAlignment="1" applyProtection="1">
      <alignment horizontal="center" vertical="center"/>
      <protection locked="0"/>
    </xf>
    <xf numFmtId="165" fontId="4" fillId="0" borderId="0" xfId="1" applyNumberFormat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right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center" vertical="center"/>
      <protection locked="0"/>
    </xf>
    <xf numFmtId="0" fontId="6" fillId="0" borderId="3" xfId="1" applyFont="1" applyBorder="1" applyAlignment="1" applyProtection="1">
      <alignment horizontal="center" vertical="center"/>
      <protection locked="0"/>
    </xf>
    <xf numFmtId="0" fontId="6" fillId="0" borderId="4" xfId="1" applyFont="1" applyBorder="1" applyAlignment="1" applyProtection="1">
      <alignment horizontal="center" vertical="center"/>
      <protection locked="0"/>
    </xf>
    <xf numFmtId="0" fontId="7" fillId="2" borderId="2" xfId="1" applyFont="1" applyFill="1" applyBorder="1" applyAlignment="1" applyProtection="1">
      <alignment horizontal="center" vertical="center"/>
      <protection locked="0"/>
    </xf>
    <xf numFmtId="0" fontId="4" fillId="0" borderId="0" xfId="1" applyProtection="1"/>
    <xf numFmtId="0" fontId="1" fillId="0" borderId="0" xfId="1" applyFont="1" applyAlignment="1" applyProtection="1">
      <alignment horizontal="center" vertical="top" wrapText="1"/>
    </xf>
    <xf numFmtId="0" fontId="1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center" vertical="top" wrapText="1"/>
    </xf>
    <xf numFmtId="0" fontId="2" fillId="0" borderId="0" xfId="1" applyFont="1" applyAlignment="1" applyProtection="1">
      <alignment horizontal="center" vertical="top" wrapText="1"/>
    </xf>
    <xf numFmtId="0" fontId="2" fillId="0" borderId="0" xfId="1" applyFont="1" applyAlignment="1" applyProtection="1">
      <alignment horizontal="left" vertical="top"/>
    </xf>
    <xf numFmtId="0" fontId="3" fillId="0" borderId="0" xfId="1" applyFont="1" applyAlignment="1" applyProtection="1">
      <alignment horizontal="left" vertical="top"/>
    </xf>
    <xf numFmtId="164" fontId="3" fillId="0" borderId="0" xfId="1" applyNumberFormat="1" applyFont="1" applyAlignment="1" applyProtection="1">
      <alignment horizontal="left" vertical="top"/>
    </xf>
    <xf numFmtId="164" fontId="3" fillId="0" borderId="0" xfId="1" applyNumberFormat="1" applyFont="1" applyAlignment="1" applyProtection="1">
      <alignment horizontal="center" vertical="top"/>
    </xf>
    <xf numFmtId="0" fontId="3" fillId="0" borderId="0" xfId="1" applyFont="1" applyAlignment="1" applyProtection="1">
      <alignment horizontal="left" vertical="top"/>
    </xf>
    <xf numFmtId="14" fontId="9" fillId="0" borderId="0" xfId="1" applyNumberFormat="1" applyFont="1" applyAlignment="1" applyProtection="1">
      <alignment horizontal="right" vertical="top"/>
    </xf>
    <xf numFmtId="166" fontId="9" fillId="0" borderId="0" xfId="1" applyNumberFormat="1" applyFont="1" applyAlignment="1" applyProtection="1">
      <alignment horizontal="right" vertical="top"/>
    </xf>
    <xf numFmtId="0" fontId="4" fillId="0" borderId="1" xfId="1" applyBorder="1" applyAlignment="1" applyProtection="1">
      <alignment horizontal="center" vertical="center"/>
    </xf>
    <xf numFmtId="0" fontId="4" fillId="0" borderId="0" xfId="1" applyAlignment="1" applyProtection="1">
      <alignment horizontal="center" vertical="center"/>
    </xf>
    <xf numFmtId="165" fontId="4" fillId="0" borderId="0" xfId="1" applyNumberFormat="1" applyAlignment="1" applyProtection="1">
      <alignment horizontal="center" vertical="center"/>
    </xf>
    <xf numFmtId="0" fontId="0" fillId="0" borderId="0" xfId="0" applyProtection="1"/>
    <xf numFmtId="0" fontId="10" fillId="3" borderId="2" xfId="0" applyFont="1" applyFill="1" applyBorder="1" applyAlignment="1" applyProtection="1">
      <alignment horizontal="center" vertical="center"/>
    </xf>
    <xf numFmtId="0" fontId="11" fillId="4" borderId="2" xfId="0" applyFont="1" applyFill="1" applyBorder="1" applyAlignment="1" applyProtection="1">
      <alignment horizontal="center" vertical="center" wrapText="1"/>
    </xf>
    <xf numFmtId="0" fontId="12" fillId="3" borderId="2" xfId="0" applyFont="1" applyFill="1" applyBorder="1" applyAlignment="1" applyProtection="1">
      <alignment horizontal="center" vertical="center"/>
    </xf>
    <xf numFmtId="0" fontId="6" fillId="0" borderId="3" xfId="1" applyFont="1" applyBorder="1" applyAlignment="1" applyProtection="1">
      <alignment horizontal="center" vertical="center"/>
    </xf>
    <xf numFmtId="0" fontId="6" fillId="0" borderId="4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right" vertical="center"/>
    </xf>
    <xf numFmtId="0" fontId="7" fillId="2" borderId="2" xfId="1" applyFont="1" applyFill="1" applyBorder="1" applyAlignment="1" applyProtection="1">
      <alignment horizontal="center" vertical="center"/>
    </xf>
    <xf numFmtId="0" fontId="8" fillId="0" borderId="0" xfId="1" applyFont="1" applyAlignment="1" applyProtection="1">
      <alignment horizontal="center" vertical="center"/>
    </xf>
    <xf numFmtId="165" fontId="8" fillId="0" borderId="0" xfId="1" applyNumberFormat="1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22" fontId="4" fillId="0" borderId="0" xfId="0" applyNumberFormat="1" applyFont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15" fillId="9" borderId="0" xfId="0" applyFont="1" applyFill="1" applyAlignment="1" applyProtection="1">
      <alignment horizontal="center" vertical="center"/>
      <protection locked="0"/>
    </xf>
    <xf numFmtId="0" fontId="16" fillId="8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</xf>
    <xf numFmtId="0" fontId="14" fillId="0" borderId="0" xfId="0" applyFont="1" applyAlignment="1" applyProtection="1">
      <alignment horizontal="center" vertical="center"/>
    </xf>
    <xf numFmtId="22" fontId="4" fillId="0" borderId="0" xfId="0" applyNumberFormat="1" applyFont="1" applyAlignment="1" applyProtection="1">
      <alignment horizontal="center" vertical="center"/>
    </xf>
    <xf numFmtId="0" fontId="7" fillId="8" borderId="0" xfId="0" applyFont="1" applyFill="1" applyAlignment="1" applyProtection="1">
      <alignment horizontal="center" vertical="center"/>
    </xf>
    <xf numFmtId="0" fontId="15" fillId="9" borderId="0" xfId="0" applyFont="1" applyFill="1" applyAlignment="1" applyProtection="1">
      <alignment horizontal="center" vertical="center"/>
    </xf>
    <xf numFmtId="0" fontId="16" fillId="8" borderId="0" xfId="0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  <protection locked="0"/>
    </xf>
    <xf numFmtId="0" fontId="13" fillId="5" borderId="5" xfId="1" applyFont="1" applyFill="1" applyBorder="1" applyAlignment="1" applyProtection="1">
      <alignment horizontal="center" vertical="center"/>
    </xf>
    <xf numFmtId="0" fontId="13" fillId="6" borderId="6" xfId="1" applyFont="1" applyFill="1" applyBorder="1" applyAlignment="1" applyProtection="1">
      <alignment horizontal="center" vertical="center"/>
    </xf>
    <xf numFmtId="0" fontId="13" fillId="7" borderId="6" xfId="1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 xr:uid="{0607A8A7-426B-4023-AB29-32F8FF376C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565150</xdr:colOff>
      <xdr:row>9</xdr:row>
      <xdr:rowOff>120650</xdr:rowOff>
    </xdr:from>
    <xdr:to>
      <xdr:col>10</xdr:col>
      <xdr:colOff>415925</xdr:colOff>
      <xdr:row>11</xdr:row>
      <xdr:rowOff>31750</xdr:rowOff>
    </xdr:to>
    <xdr:sp macro="[0]!ImportNewDeliveryList" textlink="">
      <xdr:nvSpPr>
        <xdr:cNvPr id="1673" name="btnHomeImport">
          <a:extLst>
            <a:ext uri="{FF2B5EF4-FFF2-40B4-BE49-F238E27FC236}">
              <a16:creationId xmlns:a16="http://schemas.microsoft.com/office/drawing/2014/main" id="{3CFAA0BF-AEC5-0B6B-B5B9-C4AD1E00E53D}"/>
            </a:ext>
          </a:extLst>
        </xdr:cNvPr>
        <xdr:cNvSpPr/>
      </xdr:nvSpPr>
      <xdr:spPr>
        <a:xfrm>
          <a:off x="4899025" y="3397250"/>
          <a:ext cx="2794000" cy="444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Import New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11</xdr:row>
      <xdr:rowOff>120650</xdr:rowOff>
    </xdr:from>
    <xdr:to>
      <xdr:col>10</xdr:col>
      <xdr:colOff>415925</xdr:colOff>
      <xdr:row>13</xdr:row>
      <xdr:rowOff>31750</xdr:rowOff>
    </xdr:to>
    <xdr:sp macro="[0]!UpdateExistingDeliveryList" textlink="">
      <xdr:nvSpPr>
        <xdr:cNvPr id="1674" name="btnHomeUpdate">
          <a:extLst>
            <a:ext uri="{FF2B5EF4-FFF2-40B4-BE49-F238E27FC236}">
              <a16:creationId xmlns:a16="http://schemas.microsoft.com/office/drawing/2014/main" id="{FD5A85EE-1253-FA6D-582C-1E8D9AAA106D}"/>
            </a:ext>
          </a:extLst>
        </xdr:cNvPr>
        <xdr:cNvSpPr/>
      </xdr:nvSpPr>
      <xdr:spPr>
        <a:xfrm>
          <a:off x="4899025" y="3930650"/>
          <a:ext cx="2794000" cy="444500"/>
        </a:xfrm>
        <a:prstGeom prst="roundRect">
          <a:avLst/>
        </a:prstGeom>
        <a:solidFill>
          <a:srgbClr val="6F42C1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Update Existing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13</xdr:row>
      <xdr:rowOff>120650</xdr:rowOff>
    </xdr:from>
    <xdr:to>
      <xdr:col>10</xdr:col>
      <xdr:colOff>415925</xdr:colOff>
      <xdr:row>15</xdr:row>
      <xdr:rowOff>31750</xdr:rowOff>
    </xdr:to>
    <xdr:sp macro="[0]!SaveCopyForSharePoint" textlink="">
      <xdr:nvSpPr>
        <xdr:cNvPr id="1675" name="btnHomeSave">
          <a:extLst>
            <a:ext uri="{FF2B5EF4-FFF2-40B4-BE49-F238E27FC236}">
              <a16:creationId xmlns:a16="http://schemas.microsoft.com/office/drawing/2014/main" id="{24C19BDF-150F-C740-8BFE-A41562C25578}"/>
            </a:ext>
          </a:extLst>
        </xdr:cNvPr>
        <xdr:cNvSpPr/>
      </xdr:nvSpPr>
      <xdr:spPr>
        <a:xfrm>
          <a:off x="4899025" y="4464050"/>
          <a:ext cx="2794000" cy="4445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Save Copy for SharePoint (.xlsm)</a:t>
          </a:r>
        </a:p>
      </xdr:txBody>
    </xdr:sp>
    <xdr:clientData fLocksWithSheet="0"/>
  </xdr:twoCellAnchor>
  <xdr:twoCellAnchor editAs="absolute">
    <xdr:from>
      <xdr:col>7</xdr:col>
      <xdr:colOff>565150</xdr:colOff>
      <xdr:row>15</xdr:row>
      <xdr:rowOff>120650</xdr:rowOff>
    </xdr:from>
    <xdr:to>
      <xdr:col>10</xdr:col>
      <xdr:colOff>415925</xdr:colOff>
      <xdr:row>17</xdr:row>
      <xdr:rowOff>31750</xdr:rowOff>
    </xdr:to>
    <xdr:sp macro="[0]!SyncDeliveryListToScannerSheets" textlink="">
      <xdr:nvSpPr>
        <xdr:cNvPr id="1676" name="btnHomeSync">
          <a:extLst>
            <a:ext uri="{FF2B5EF4-FFF2-40B4-BE49-F238E27FC236}">
              <a16:creationId xmlns:a16="http://schemas.microsoft.com/office/drawing/2014/main" id="{CD536E71-4CEA-0B07-2245-E85051614236}"/>
            </a:ext>
          </a:extLst>
        </xdr:cNvPr>
        <xdr:cNvSpPr/>
      </xdr:nvSpPr>
      <xdr:spPr>
        <a:xfrm>
          <a:off x="4899025" y="4997450"/>
          <a:ext cx="2794000" cy="4445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Sync to Scanner Sheets</a:t>
          </a:r>
        </a:p>
      </xdr:txBody>
    </xdr:sp>
    <xdr:clientData fLocksWithSheet="0"/>
  </xdr:twoCellAnchor>
  <xdr:twoCellAnchor editAs="absolute">
    <xdr:from>
      <xdr:col>7</xdr:col>
      <xdr:colOff>565150</xdr:colOff>
      <xdr:row>17</xdr:row>
      <xdr:rowOff>120650</xdr:rowOff>
    </xdr:from>
    <xdr:to>
      <xdr:col>10</xdr:col>
      <xdr:colOff>415925</xdr:colOff>
      <xdr:row>19</xdr:row>
      <xdr:rowOff>31750</xdr:rowOff>
    </xdr:to>
    <xdr:sp macro="[0]!OpenDeliveryListForEditing" textlink="">
      <xdr:nvSpPr>
        <xdr:cNvPr id="1677" name="btnGoDeliveryListEdit">
          <a:extLst>
            <a:ext uri="{FF2B5EF4-FFF2-40B4-BE49-F238E27FC236}">
              <a16:creationId xmlns:a16="http://schemas.microsoft.com/office/drawing/2014/main" id="{6EF93A51-4589-CC49-1538-B8A509C2645B}"/>
            </a:ext>
          </a:extLst>
        </xdr:cNvPr>
        <xdr:cNvSpPr/>
      </xdr:nvSpPr>
      <xdr:spPr>
        <a:xfrm>
          <a:off x="4899025" y="5530850"/>
          <a:ext cx="2794000" cy="444500"/>
        </a:xfrm>
        <a:prstGeom prst="roundRect">
          <a:avLst/>
        </a:prstGeom>
        <a:solidFill>
          <a:srgbClr val="C0800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Delivery List (Edit)</a:t>
          </a:r>
        </a:p>
      </xdr:txBody>
    </xdr:sp>
    <xdr:clientData fLocksWithSheet="0"/>
  </xdr:twoCellAnchor>
  <xdr:twoCellAnchor editAs="absolute">
    <xdr:from>
      <xdr:col>13</xdr:col>
      <xdr:colOff>565150</xdr:colOff>
      <xdr:row>9</xdr:row>
      <xdr:rowOff>120650</xdr:rowOff>
    </xdr:from>
    <xdr:to>
      <xdr:col>16</xdr:col>
      <xdr:colOff>415925</xdr:colOff>
      <xdr:row>11</xdr:row>
      <xdr:rowOff>31750</xdr:rowOff>
    </xdr:to>
    <xdr:sp macro="[0]!GoToDeliveryList" textlink="">
      <xdr:nvSpPr>
        <xdr:cNvPr id="1678" name="btnGoDeliveryList">
          <a:extLst>
            <a:ext uri="{FF2B5EF4-FFF2-40B4-BE49-F238E27FC236}">
              <a16:creationId xmlns:a16="http://schemas.microsoft.com/office/drawing/2014/main" id="{EC920F48-8431-3634-2E82-43B69B11222D}"/>
            </a:ext>
          </a:extLst>
        </xdr:cNvPr>
        <xdr:cNvSpPr/>
      </xdr:nvSpPr>
      <xdr:spPr>
        <a:xfrm>
          <a:off x="9451975" y="33972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- Delivery List</a:t>
          </a:r>
        </a:p>
      </xdr:txBody>
    </xdr:sp>
    <xdr:clientData fLocksWithSheet="0"/>
  </xdr:twoCellAnchor>
  <xdr:twoCellAnchor editAs="absolute">
    <xdr:from>
      <xdr:col>13</xdr:col>
      <xdr:colOff>565150</xdr:colOff>
      <xdr:row>11</xdr:row>
      <xdr:rowOff>120650</xdr:rowOff>
    </xdr:from>
    <xdr:to>
      <xdr:col>16</xdr:col>
      <xdr:colOff>415925</xdr:colOff>
      <xdr:row>13</xdr:row>
      <xdr:rowOff>31750</xdr:rowOff>
    </xdr:to>
    <xdr:sp macro="[0]!GoToAirportRd" textlink="">
      <xdr:nvSpPr>
        <xdr:cNvPr id="1679" name="btnGoAirportRd">
          <a:extLst>
            <a:ext uri="{FF2B5EF4-FFF2-40B4-BE49-F238E27FC236}">
              <a16:creationId xmlns:a16="http://schemas.microsoft.com/office/drawing/2014/main" id="{ED1DFE13-A0CC-528F-AA53-97A82932FD3E}"/>
            </a:ext>
          </a:extLst>
        </xdr:cNvPr>
        <xdr:cNvSpPr/>
      </xdr:nvSpPr>
      <xdr:spPr>
        <a:xfrm>
          <a:off x="9451975" y="39306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Outbound - Airport Rd</a:t>
          </a:r>
        </a:p>
      </xdr:txBody>
    </xdr:sp>
    <xdr:clientData fLocksWithSheet="0"/>
  </xdr:twoCellAnchor>
  <xdr:twoCellAnchor editAs="absolute">
    <xdr:from>
      <xdr:col>13</xdr:col>
      <xdr:colOff>565150</xdr:colOff>
      <xdr:row>13</xdr:row>
      <xdr:rowOff>120650</xdr:rowOff>
    </xdr:from>
    <xdr:to>
      <xdr:col>16</xdr:col>
      <xdr:colOff>415925</xdr:colOff>
      <xdr:row>15</xdr:row>
      <xdr:rowOff>31750</xdr:rowOff>
    </xdr:to>
    <xdr:sp macro="[0]!GoToReceiveSheet" textlink="">
      <xdr:nvSpPr>
        <xdr:cNvPr id="1680" name="btnGoReceiveSheet">
          <a:extLst>
            <a:ext uri="{FF2B5EF4-FFF2-40B4-BE49-F238E27FC236}">
              <a16:creationId xmlns:a16="http://schemas.microsoft.com/office/drawing/2014/main" id="{1B711CBF-E542-AA8B-ACF6-11D5742BFAB9}"/>
            </a:ext>
          </a:extLst>
        </xdr:cNvPr>
        <xdr:cNvSpPr/>
      </xdr:nvSpPr>
      <xdr:spPr>
        <a:xfrm>
          <a:off x="9451975" y="44640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Inbound - Indian Trail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2</xdr:row>
      <xdr:rowOff>957878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453B9143-CB5C-47FA-A999-24E4E843A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/>
  <dimension ref="H1:AA35"/>
  <sheetViews>
    <sheetView showGridLines="0" workbookViewId="0">
      <selection activeCell="D11" sqref="D11"/>
    </sheetView>
  </sheetViews>
  <sheetFormatPr defaultRowHeight="12.75" x14ac:dyDescent="0.2"/>
  <cols>
    <col min="1" max="5" width="10.7109375" style="29" customWidth="1"/>
    <col min="6" max="7" width="5.7109375" style="29" customWidth="1"/>
    <col min="8" max="11" width="14.7109375" style="29" customWidth="1"/>
    <col min="12" max="13" width="4.7109375" style="29" customWidth="1"/>
    <col min="14" max="17" width="14.7109375" style="29" customWidth="1"/>
    <col min="18" max="19" width="4.7109375" style="29" customWidth="1"/>
    <col min="20" max="25" width="9.140625" style="29"/>
    <col min="26" max="27" width="9.140625" style="29" hidden="1" customWidth="1"/>
    <col min="28" max="16384" width="9.140625" style="29"/>
  </cols>
  <sheetData>
    <row r="1" spans="8:17" ht="21.95" customHeight="1" x14ac:dyDescent="0.2"/>
    <row r="2" spans="8:17" ht="38.1" customHeight="1" x14ac:dyDescent="0.2">
      <c r="H2" s="30" t="s">
        <v>38</v>
      </c>
      <c r="I2" s="30"/>
      <c r="J2" s="30"/>
      <c r="K2" s="30"/>
      <c r="L2" s="30"/>
      <c r="M2" s="30"/>
      <c r="N2" s="30"/>
      <c r="O2" s="30"/>
      <c r="P2" s="30"/>
      <c r="Q2" s="30"/>
    </row>
    <row r="3" spans="8:17" ht="36" customHeight="1" x14ac:dyDescent="0.2">
      <c r="H3" s="30"/>
      <c r="I3" s="30"/>
      <c r="J3" s="30"/>
      <c r="K3" s="30"/>
      <c r="L3" s="30"/>
      <c r="M3" s="30"/>
      <c r="N3" s="30"/>
      <c r="O3" s="30"/>
      <c r="P3" s="30"/>
      <c r="Q3" s="30"/>
    </row>
    <row r="4" spans="8:17" ht="21.95" customHeight="1" x14ac:dyDescent="0.2"/>
    <row r="5" spans="8:17" ht="24" customHeight="1" x14ac:dyDescent="0.2">
      <c r="H5" s="31" t="s">
        <v>57</v>
      </c>
      <c r="I5" s="31"/>
      <c r="J5" s="31"/>
      <c r="K5" s="31"/>
      <c r="L5" s="31"/>
      <c r="M5" s="31"/>
      <c r="N5" s="31"/>
      <c r="O5" s="31"/>
      <c r="P5" s="31"/>
      <c r="Q5" s="31"/>
    </row>
    <row r="6" spans="8:17" ht="33.950000000000003" customHeight="1" x14ac:dyDescent="0.2">
      <c r="H6" s="31"/>
      <c r="I6" s="31"/>
      <c r="J6" s="31"/>
      <c r="K6" s="31"/>
      <c r="L6" s="31"/>
      <c r="M6" s="31"/>
      <c r="N6" s="31"/>
      <c r="O6" s="31"/>
      <c r="P6" s="31"/>
      <c r="Q6" s="31"/>
    </row>
    <row r="7" spans="8:17" ht="33.950000000000003" customHeight="1" x14ac:dyDescent="0.2">
      <c r="H7" s="31"/>
      <c r="I7" s="31"/>
      <c r="J7" s="31"/>
      <c r="K7" s="31"/>
      <c r="L7" s="31"/>
      <c r="M7" s="31"/>
      <c r="N7" s="31"/>
      <c r="O7" s="31"/>
      <c r="P7" s="31"/>
      <c r="Q7" s="31"/>
    </row>
    <row r="8" spans="8:17" ht="21.95" customHeight="1" x14ac:dyDescent="0.2"/>
    <row r="9" spans="8:17" ht="27.95" customHeight="1" x14ac:dyDescent="0.2">
      <c r="H9" s="32" t="s">
        <v>36</v>
      </c>
      <c r="I9" s="32"/>
      <c r="J9" s="32"/>
      <c r="K9" s="32"/>
      <c r="N9" s="32" t="s">
        <v>37</v>
      </c>
      <c r="O9" s="32"/>
      <c r="P9" s="32"/>
      <c r="Q9" s="32"/>
    </row>
    <row r="10" spans="8:17" ht="12" customHeight="1" x14ac:dyDescent="0.2"/>
    <row r="11" spans="8:17" ht="30" customHeight="1" x14ac:dyDescent="0.2"/>
    <row r="12" spans="8:17" ht="12" customHeight="1" x14ac:dyDescent="0.2"/>
    <row r="13" spans="8:17" ht="30" customHeight="1" x14ac:dyDescent="0.2"/>
    <row r="14" spans="8:17" ht="12" customHeight="1" x14ac:dyDescent="0.2"/>
    <row r="15" spans="8:17" ht="30" customHeight="1" x14ac:dyDescent="0.2"/>
    <row r="16" spans="8:17" ht="12" customHeight="1" x14ac:dyDescent="0.2"/>
    <row r="17" s="29" customFormat="1" ht="30" customHeight="1" x14ac:dyDescent="0.2"/>
    <row r="18" s="29" customFormat="1" ht="12" customHeight="1" x14ac:dyDescent="0.2"/>
    <row r="19" s="29" customFormat="1" ht="30" customHeight="1" x14ac:dyDescent="0.2"/>
    <row r="20" s="29" customFormat="1" ht="21.95" customHeight="1" x14ac:dyDescent="0.2"/>
    <row r="21" s="29" customFormat="1" ht="21.95" customHeight="1" x14ac:dyDescent="0.2"/>
    <row r="22" s="29" customFormat="1" ht="21.95" customHeight="1" x14ac:dyDescent="0.2"/>
    <row r="23" s="29" customFormat="1" ht="21.95" customHeight="1" x14ac:dyDescent="0.2"/>
    <row r="24" s="29" customFormat="1" ht="21.95" customHeight="1" x14ac:dyDescent="0.2"/>
    <row r="25" s="29" customFormat="1" ht="21.95" customHeight="1" x14ac:dyDescent="0.2"/>
    <row r="26" s="29" customFormat="1" ht="21.95" customHeight="1" x14ac:dyDescent="0.2"/>
    <row r="27" s="29" customFormat="1" ht="21.95" customHeight="1" x14ac:dyDescent="0.2"/>
    <row r="28" s="29" customFormat="1" ht="21.95" customHeight="1" x14ac:dyDescent="0.2"/>
    <row r="29" s="29" customFormat="1" ht="21.95" customHeight="1" x14ac:dyDescent="0.2"/>
    <row r="30" s="29" customFormat="1" ht="21.95" customHeight="1" x14ac:dyDescent="0.2"/>
    <row r="31" s="29" customFormat="1" ht="21.95" customHeight="1" x14ac:dyDescent="0.2"/>
    <row r="32" s="29" customFormat="1" ht="21.95" customHeight="1" x14ac:dyDescent="0.2"/>
    <row r="33" s="29" customFormat="1" ht="21.95" customHeight="1" x14ac:dyDescent="0.2"/>
    <row r="34" s="29" customFormat="1" ht="21.95" customHeight="1" x14ac:dyDescent="0.2"/>
    <row r="35" s="29" customFormat="1" ht="21.95" customHeight="1" x14ac:dyDescent="0.2"/>
  </sheetData>
  <sheetProtection sheet="1" scenarios="1"/>
  <mergeCells count="4">
    <mergeCell ref="H2:Q3"/>
    <mergeCell ref="H5:Q7"/>
    <mergeCell ref="H9:K9"/>
    <mergeCell ref="N9:Q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9ADB-928E-4844-89F3-F434129D7E04}">
  <sheetPr codeName="Sheet2">
    <outlinePr summaryBelow="0" summaryRight="0"/>
    <pageSetUpPr autoPageBreaks="0"/>
  </sheetPr>
  <dimension ref="A1:AV100"/>
  <sheetViews>
    <sheetView workbookViewId="0">
      <pane ySplit="2" topLeftCell="A3" activePane="bottomLeft" state="frozenSplit"/>
      <selection pane="bottomLeft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5.140625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26" customWidth="1"/>
    <col min="16" max="16" width="20.7109375" style="27" customWidth="1"/>
    <col min="17" max="17" width="12.7109375" style="27" customWidth="1"/>
    <col min="18" max="18" width="10.7109375" style="27" customWidth="1"/>
    <col min="19" max="19" width="16.7109375" style="27" customWidth="1"/>
    <col min="20" max="20" width="25.7109375" style="28" customWidth="1"/>
    <col min="21" max="22" width="15.7109375" style="27" customWidth="1"/>
    <col min="23" max="23" width="20.7109375" style="27" customWidth="1"/>
    <col min="24" max="24" width="18.7109375" style="26" customWidth="1"/>
    <col min="25" max="27" width="20.7109375" style="27" customWidth="1"/>
    <col min="28" max="28" width="16.7109375" style="27" customWidth="1"/>
    <col min="29" max="29" width="25.7109375" style="28" customWidth="1"/>
    <col min="30" max="30" width="20.7109375" style="27" customWidth="1"/>
    <col min="31" max="31" width="2.7109375" style="27" hidden="1" customWidth="1"/>
    <col min="32" max="32" width="20.7109375" style="27" customWidth="1"/>
    <col min="33" max="33" width="15.7109375" style="27" customWidth="1"/>
    <col min="34" max="40" width="6.85546875" style="12" customWidth="1"/>
    <col min="41" max="41" width="18.7109375" style="26" customWidth="1"/>
    <col min="42" max="42" width="20.7109375" style="27" customWidth="1"/>
    <col min="43" max="43" width="12.7109375" style="27" customWidth="1"/>
    <col min="44" max="44" width="10.7109375" style="27" customWidth="1"/>
    <col min="45" max="45" width="16.7109375" style="27" customWidth="1"/>
    <col min="46" max="46" width="25.7109375" style="27" customWidth="1"/>
    <col min="47" max="47" width="15.7109375" style="27" customWidth="1"/>
    <col min="48" max="48" width="20.7109375" style="27" customWidth="1"/>
    <col min="49" max="16384" width="6.85546875" style="12" customWidth="1"/>
  </cols>
  <sheetData>
    <row r="1" spans="1:48" ht="6.75" customHeight="1" x14ac:dyDescent="0.2"/>
    <row r="2" spans="1:48" ht="24" customHeight="1" x14ac:dyDescent="0.2">
      <c r="D2" s="13" t="s">
        <v>0</v>
      </c>
      <c r="E2" s="13"/>
      <c r="F2" s="13"/>
      <c r="G2" s="13"/>
      <c r="H2" s="13"/>
      <c r="I2" s="14" t="s">
        <v>64</v>
      </c>
      <c r="J2" s="14"/>
      <c r="K2" s="14"/>
      <c r="L2" s="14"/>
      <c r="O2" s="53" t="str">
        <f ca="1">"Outbound: "&amp;SUMPRODUCT(SUBTOTAL(103,OFFSET($E$6,ROW($E$6:$E$97)-ROW($E$6),0,1)),--($U$6:$U$97="OK"),--($E$6:$E$97&lt;&gt;""))&amp;"/"&amp;SUMPRODUCT(SUBTOTAL(103,OFFSET($E$6,ROW($E$6:$E$97)-ROW($E$6),0,1)),--($E$6:$E$97&lt;&gt;""))&amp;" • "&amp;TEXT(IFERROR(SUMPRODUCT(SUBTOTAL(103,OFFSET($E$6,ROW($E$6:$E$97)-ROW($E$6),0,1)),--((($V$6:$V$97="On-Time")+($V$6:$V$97="Early"))&gt;0),--($E$6:$E$97&lt;&gt;""))/SUMPRODUCT(SUBTOTAL(103,OFFSET($E$6,ROW($E$6:$E$97)-ROW($E$6),0,1)),--($E$6:$E$97&lt;&gt;"")),0),"0.0%")&amp;" On Time"</f>
        <v>Outbound: 77/87 • 89.7% On Time</v>
      </c>
      <c r="P2" s="53"/>
      <c r="Q2" s="53"/>
      <c r="R2" s="53"/>
      <c r="S2" s="53"/>
      <c r="T2" s="53"/>
      <c r="U2" s="53"/>
      <c r="V2" s="53"/>
      <c r="W2" s="53"/>
      <c r="X2" s="54" t="str">
        <f ca="1">"Inbound: "&amp;SUMPRODUCT(SUBTOTAL(103,OFFSET($E$6,ROW($E$6:$E$97)-ROW($E$6),0,1)),--($AD$6:$AD$97="Received"),--($E$6:$E$97&lt;&gt;""))&amp;"/"&amp;SUMPRODUCT(SUBTOTAL(103,OFFSET($E$6,ROW($E$6:$E$97)-ROW($E$6),0,1)),--($E$6:$E$97&lt;&gt;""))&amp;" • "&amp;TEXT(IFERROR(SUMPRODUCT(SUBTOTAL(103,OFFSET($E$6,ROW($E$6:$E$97)-ROW($E$6),0,1)),--($AD$6:$AD$97="Received"),--($E$6:$E$97&lt;&gt;""))/SUMPRODUCT(SUBTOTAL(103,OFFSET($E$6,ROW($E$6:$E$97)-ROW($E$6),0,1)),--($E$6:$E$97&lt;&gt;"")),0),"0.0%")&amp;" Complete"</f>
        <v>Inbound: 0/87 • 0.0% Complete</v>
      </c>
      <c r="Y2" s="54"/>
      <c r="Z2" s="54"/>
      <c r="AA2" s="54"/>
      <c r="AB2" s="54"/>
      <c r="AC2" s="54"/>
      <c r="AD2" s="54"/>
      <c r="AE2" s="54"/>
      <c r="AF2" s="54"/>
      <c r="AG2" s="54"/>
      <c r="AO2" s="55" t="str">
        <f ca="1">"Staged: "&amp;SUMPRODUCT(SUBTOTAL(103,OFFSET($E$6,ROW($E$6:$E$97)-ROW($E$6),0,1)),--($AU$6:$AU$97="OK"),--($E$6:$E$97&lt;&gt;""))&amp;"/"&amp;SUMPRODUCT(SUBTOTAL(103,OFFSET($E$6,ROW($E$6:$E$97)-ROW($E$6),0,1)),--($E$6:$E$97&lt;&gt;""))&amp;" • "&amp;TEXT(IFERROR(SUMPRODUCT(SUBTOTAL(103,OFFSET($E$6,ROW($E$6:$E$97)-ROW($E$6),0,1)),--($AU$6:$AU$97="OK"),--($E$6:$E$97&lt;&gt;""))/SUMPRODUCT(SUBTOTAL(103,OFFSET($E$6,ROW($E$6:$E$97)-ROW($E$6),0,1)),--($E$6:$E$97&lt;&gt;"")),0),"0.0%")&amp;" Complete"</f>
        <v>Staged: 77/87 • 88.5% Complete</v>
      </c>
      <c r="AP2" s="55"/>
      <c r="AQ2" s="55"/>
      <c r="AR2" s="55"/>
      <c r="AS2" s="55"/>
      <c r="AT2" s="55"/>
      <c r="AU2" s="55"/>
      <c r="AV2" s="55"/>
    </row>
    <row r="3" spans="1:48" ht="85.5" customHeight="1" x14ac:dyDescent="0.2">
      <c r="O3" s="33" t="s">
        <v>39</v>
      </c>
      <c r="P3" s="34"/>
      <c r="Q3" s="34"/>
      <c r="R3" s="34"/>
      <c r="S3" s="34"/>
      <c r="T3" s="34"/>
      <c r="U3" s="34"/>
      <c r="V3" s="34"/>
      <c r="W3" s="34"/>
      <c r="X3" s="33" t="s">
        <v>41</v>
      </c>
      <c r="Y3" s="34"/>
      <c r="Z3" s="34"/>
      <c r="AA3" s="34"/>
      <c r="AB3" s="34"/>
      <c r="AC3" s="34"/>
      <c r="AD3" s="34"/>
      <c r="AE3" s="34"/>
      <c r="AF3" s="34"/>
      <c r="AG3" s="34"/>
      <c r="AO3" s="33" t="s">
        <v>40</v>
      </c>
      <c r="AP3" s="34"/>
      <c r="AQ3" s="34"/>
      <c r="AR3" s="34"/>
      <c r="AS3" s="34"/>
      <c r="AT3" s="34"/>
      <c r="AU3" s="34"/>
      <c r="AV3" s="34"/>
    </row>
    <row r="4" spans="1:48" ht="20.100000000000001" customHeight="1" x14ac:dyDescent="0.2">
      <c r="O4" s="35" t="s">
        <v>9</v>
      </c>
      <c r="P4" s="36"/>
      <c r="X4" s="35" t="s">
        <v>9</v>
      </c>
      <c r="Y4" s="36"/>
      <c r="AO4" s="35" t="s">
        <v>9</v>
      </c>
      <c r="AP4" s="36"/>
      <c r="AT4" s="28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62</v>
      </c>
      <c r="M5" s="18"/>
      <c r="P5" s="37" t="s">
        <v>10</v>
      </c>
      <c r="Q5" s="37" t="s">
        <v>2</v>
      </c>
      <c r="R5" s="37" t="s">
        <v>3</v>
      </c>
      <c r="S5" s="37" t="s">
        <v>11</v>
      </c>
      <c r="T5" s="38" t="s">
        <v>12</v>
      </c>
      <c r="U5" s="37" t="s">
        <v>13</v>
      </c>
      <c r="V5" s="37" t="s">
        <v>14</v>
      </c>
      <c r="W5" s="37" t="s">
        <v>15</v>
      </c>
      <c r="Y5" s="37" t="s">
        <v>16</v>
      </c>
      <c r="Z5" s="37" t="s">
        <v>17</v>
      </c>
      <c r="AA5" s="37" t="s">
        <v>18</v>
      </c>
      <c r="AB5" s="37" t="s">
        <v>19</v>
      </c>
      <c r="AC5" s="38" t="s">
        <v>20</v>
      </c>
      <c r="AD5" s="37" t="s">
        <v>21</v>
      </c>
      <c r="AE5" s="37"/>
      <c r="AF5" s="37" t="s">
        <v>15</v>
      </c>
      <c r="AG5" s="37" t="s">
        <v>22</v>
      </c>
      <c r="AP5" s="37" t="s">
        <v>10</v>
      </c>
      <c r="AQ5" s="37" t="s">
        <v>2</v>
      </c>
      <c r="AR5" s="37" t="s">
        <v>3</v>
      </c>
      <c r="AS5" s="37" t="s">
        <v>11</v>
      </c>
      <c r="AT5" s="37" t="s">
        <v>12</v>
      </c>
      <c r="AU5" s="37" t="s">
        <v>13</v>
      </c>
      <c r="AV5" s="37" t="s">
        <v>15</v>
      </c>
    </row>
    <row r="6" spans="1:48" ht="8.25" customHeight="1" x14ac:dyDescent="0.2"/>
    <row r="7" spans="1:48" ht="13.5" customHeight="1" x14ac:dyDescent="0.2">
      <c r="A7" s="19" t="s">
        <v>65</v>
      </c>
    </row>
    <row r="8" spans="1:48" ht="13.5" customHeight="1" x14ac:dyDescent="0.2">
      <c r="A8" s="20" t="s">
        <v>66</v>
      </c>
      <c r="B8" s="20"/>
      <c r="C8" s="20"/>
      <c r="D8" s="20"/>
      <c r="E8" s="21">
        <v>231414</v>
      </c>
      <c r="F8" s="22">
        <v>1</v>
      </c>
      <c r="G8" s="22">
        <v>1</v>
      </c>
      <c r="H8" s="23" t="s">
        <v>67</v>
      </c>
      <c r="I8" s="20" t="s">
        <v>68</v>
      </c>
      <c r="J8" s="20"/>
    </row>
    <row r="9" spans="1:48" ht="13.5" customHeight="1" x14ac:dyDescent="0.2">
      <c r="A9" s="20" t="s">
        <v>69</v>
      </c>
      <c r="B9" s="20"/>
      <c r="C9" s="20"/>
      <c r="D9" s="20"/>
      <c r="E9" s="21">
        <v>231415</v>
      </c>
      <c r="F9" s="22">
        <v>1</v>
      </c>
      <c r="G9" s="22">
        <v>1</v>
      </c>
      <c r="H9" s="23" t="s">
        <v>70</v>
      </c>
      <c r="I9" s="20" t="s">
        <v>71</v>
      </c>
      <c r="J9" s="20"/>
    </row>
    <row r="10" spans="1:48" ht="13.5" customHeight="1" x14ac:dyDescent="0.2">
      <c r="A10" s="20" t="s">
        <v>72</v>
      </c>
      <c r="B10" s="20"/>
      <c r="C10" s="20"/>
      <c r="D10" s="20"/>
      <c r="E10" s="21">
        <v>231416</v>
      </c>
      <c r="F10" s="22">
        <v>1</v>
      </c>
      <c r="G10" s="22">
        <v>1</v>
      </c>
      <c r="H10" s="23" t="s">
        <v>73</v>
      </c>
      <c r="I10" s="20" t="s">
        <v>71</v>
      </c>
      <c r="J10" s="20"/>
    </row>
    <row r="11" spans="1:48" ht="13.5" customHeight="1" x14ac:dyDescent="0.2">
      <c r="A11" s="20" t="s">
        <v>72</v>
      </c>
      <c r="B11" s="20"/>
      <c r="C11" s="20"/>
      <c r="D11" s="20"/>
      <c r="E11" s="21">
        <v>231416</v>
      </c>
      <c r="F11" s="22">
        <v>3</v>
      </c>
      <c r="G11" s="22">
        <v>1</v>
      </c>
      <c r="H11" s="23" t="s">
        <v>74</v>
      </c>
      <c r="I11" s="20" t="s">
        <v>71</v>
      </c>
      <c r="J11" s="20"/>
    </row>
    <row r="12" spans="1:48" ht="13.5" customHeight="1" x14ac:dyDescent="0.2">
      <c r="A12" s="19" t="s">
        <v>7</v>
      </c>
    </row>
    <row r="13" spans="1:48" ht="13.5" customHeight="1" x14ac:dyDescent="0.2">
      <c r="A13" s="20" t="s">
        <v>75</v>
      </c>
      <c r="B13" s="20"/>
      <c r="C13" s="20"/>
      <c r="D13" s="20"/>
      <c r="E13" s="21">
        <v>231338</v>
      </c>
      <c r="F13" s="22">
        <v>1</v>
      </c>
      <c r="G13" s="22">
        <v>1</v>
      </c>
      <c r="H13" s="23" t="s">
        <v>50</v>
      </c>
      <c r="I13" s="20" t="s">
        <v>27</v>
      </c>
      <c r="J13" s="20"/>
      <c r="P13" s="45" t="s">
        <v>187</v>
      </c>
      <c r="Q13" s="45">
        <v>231338</v>
      </c>
      <c r="R13" s="45">
        <v>1</v>
      </c>
      <c r="S13" s="46">
        <v>1</v>
      </c>
      <c r="T13" s="51">
        <v>46104.334027777775</v>
      </c>
      <c r="U13" s="48" t="s">
        <v>63</v>
      </c>
      <c r="V13" s="48" t="s">
        <v>188</v>
      </c>
      <c r="AP13" s="45" t="s">
        <v>187</v>
      </c>
      <c r="AQ13" s="45">
        <v>231338</v>
      </c>
      <c r="AR13" s="45">
        <v>1</v>
      </c>
      <c r="AS13" s="45">
        <v>1</v>
      </c>
      <c r="AT13" s="47">
        <v>46104.326388888891</v>
      </c>
      <c r="AU13" s="48" t="s">
        <v>63</v>
      </c>
    </row>
    <row r="14" spans="1:48" ht="13.5" customHeight="1" x14ac:dyDescent="0.2">
      <c r="A14" s="20" t="s">
        <v>76</v>
      </c>
      <c r="B14" s="20"/>
      <c r="C14" s="20"/>
      <c r="D14" s="20"/>
      <c r="E14" s="21">
        <v>231343</v>
      </c>
      <c r="F14" s="22">
        <v>1</v>
      </c>
      <c r="G14" s="22">
        <v>1</v>
      </c>
      <c r="H14" s="23" t="s">
        <v>29</v>
      </c>
      <c r="I14" s="20" t="s">
        <v>77</v>
      </c>
      <c r="J14" s="20"/>
      <c r="P14" s="45"/>
      <c r="Q14" s="45"/>
      <c r="R14" s="45"/>
      <c r="S14" s="45"/>
      <c r="T14" s="51"/>
      <c r="U14" s="45"/>
      <c r="V14" s="45"/>
      <c r="AP14" s="45"/>
      <c r="AQ14" s="45"/>
      <c r="AR14" s="45"/>
      <c r="AS14" s="45"/>
      <c r="AT14" s="45"/>
      <c r="AU14" s="45"/>
    </row>
    <row r="15" spans="1:48" ht="13.5" customHeight="1" x14ac:dyDescent="0.2">
      <c r="A15" s="20" t="s">
        <v>78</v>
      </c>
      <c r="B15" s="20"/>
      <c r="C15" s="20"/>
      <c r="D15" s="20"/>
      <c r="E15" s="21">
        <v>231449</v>
      </c>
      <c r="F15" s="22">
        <v>1</v>
      </c>
      <c r="G15" s="22">
        <v>1</v>
      </c>
      <c r="H15" s="23" t="s">
        <v>79</v>
      </c>
      <c r="I15" s="20" t="s">
        <v>54</v>
      </c>
      <c r="J15" s="20"/>
      <c r="P15" s="45" t="s">
        <v>189</v>
      </c>
      <c r="Q15" s="45">
        <v>231449</v>
      </c>
      <c r="R15" s="45">
        <v>1</v>
      </c>
      <c r="S15" s="46">
        <v>1</v>
      </c>
      <c r="T15" s="51">
        <v>46104.574999999997</v>
      </c>
      <c r="U15" s="48" t="s">
        <v>63</v>
      </c>
      <c r="V15" s="48" t="s">
        <v>188</v>
      </c>
      <c r="AP15" s="45" t="s">
        <v>189</v>
      </c>
      <c r="AQ15" s="45">
        <v>231449</v>
      </c>
      <c r="AR15" s="45">
        <v>1</v>
      </c>
      <c r="AS15" s="45">
        <v>1</v>
      </c>
      <c r="AT15" s="47">
        <v>46104.433333333334</v>
      </c>
      <c r="AU15" s="48" t="s">
        <v>63</v>
      </c>
    </row>
    <row r="16" spans="1:48" ht="13.5" customHeight="1" x14ac:dyDescent="0.2">
      <c r="A16" s="20" t="s">
        <v>80</v>
      </c>
      <c r="B16" s="20"/>
      <c r="C16" s="20"/>
      <c r="D16" s="20"/>
      <c r="E16" s="21">
        <v>231450</v>
      </c>
      <c r="F16" s="22">
        <v>1</v>
      </c>
      <c r="G16" s="22">
        <v>1</v>
      </c>
      <c r="H16" s="23" t="s">
        <v>23</v>
      </c>
      <c r="I16" s="20" t="s">
        <v>24</v>
      </c>
      <c r="J16" s="20"/>
      <c r="P16" s="45" t="s">
        <v>190</v>
      </c>
      <c r="Q16" s="45">
        <v>231450</v>
      </c>
      <c r="R16" s="45">
        <v>1</v>
      </c>
      <c r="S16" s="46">
        <v>1</v>
      </c>
      <c r="T16" s="51">
        <v>46104.349305555559</v>
      </c>
      <c r="U16" s="48" t="s">
        <v>63</v>
      </c>
      <c r="V16" s="48" t="s">
        <v>188</v>
      </c>
      <c r="AP16" s="45" t="s">
        <v>190</v>
      </c>
      <c r="AQ16" s="45">
        <v>231450</v>
      </c>
      <c r="AR16" s="45">
        <v>1</v>
      </c>
      <c r="AS16" s="45">
        <v>1</v>
      </c>
      <c r="AT16" s="47">
        <v>46104.335416666669</v>
      </c>
      <c r="AU16" s="48" t="s">
        <v>63</v>
      </c>
    </row>
    <row r="17" spans="1:47" ht="13.5" customHeight="1" x14ac:dyDescent="0.2">
      <c r="A17" s="20" t="s">
        <v>80</v>
      </c>
      <c r="B17" s="20"/>
      <c r="C17" s="20"/>
      <c r="D17" s="20"/>
      <c r="E17" s="21">
        <v>231450</v>
      </c>
      <c r="F17" s="22">
        <v>2</v>
      </c>
      <c r="G17" s="22">
        <v>2</v>
      </c>
      <c r="H17" s="23" t="s">
        <v>25</v>
      </c>
      <c r="I17" s="20" t="s">
        <v>24</v>
      </c>
      <c r="J17" s="20"/>
      <c r="P17" s="45" t="s">
        <v>191</v>
      </c>
      <c r="Q17" s="45">
        <v>231450</v>
      </c>
      <c r="R17" s="45">
        <v>2</v>
      </c>
      <c r="S17" s="46">
        <v>2</v>
      </c>
      <c r="T17" s="51">
        <v>46104.350694444445</v>
      </c>
      <c r="U17" s="48" t="s">
        <v>63</v>
      </c>
      <c r="V17" s="48" t="s">
        <v>188</v>
      </c>
      <c r="AP17" s="45" t="s">
        <v>191</v>
      </c>
      <c r="AQ17" s="45">
        <v>231450</v>
      </c>
      <c r="AR17" s="45">
        <v>2</v>
      </c>
      <c r="AS17" s="45">
        <v>2</v>
      </c>
      <c r="AT17" s="47">
        <v>46104.334027777775</v>
      </c>
      <c r="AU17" s="48" t="s">
        <v>63</v>
      </c>
    </row>
    <row r="18" spans="1:47" ht="13.5" customHeight="1" x14ac:dyDescent="0.2">
      <c r="A18" s="20" t="s">
        <v>81</v>
      </c>
      <c r="B18" s="20"/>
      <c r="C18" s="20"/>
      <c r="D18" s="20"/>
      <c r="E18" s="21">
        <v>231451</v>
      </c>
      <c r="F18" s="22">
        <v>1</v>
      </c>
      <c r="G18" s="22">
        <v>1</v>
      </c>
      <c r="H18" s="23" t="s">
        <v>82</v>
      </c>
      <c r="I18" s="20" t="s">
        <v>83</v>
      </c>
      <c r="J18" s="20"/>
      <c r="P18" s="45" t="s">
        <v>192</v>
      </c>
      <c r="Q18" s="45">
        <v>231451</v>
      </c>
      <c r="R18" s="45">
        <v>1</v>
      </c>
      <c r="S18" s="46">
        <v>1</v>
      </c>
      <c r="T18" s="51">
        <v>46104.392361111109</v>
      </c>
      <c r="U18" s="48" t="s">
        <v>63</v>
      </c>
      <c r="V18" s="48" t="s">
        <v>188</v>
      </c>
      <c r="AP18" s="45" t="s">
        <v>192</v>
      </c>
      <c r="AQ18" s="45">
        <v>231451</v>
      </c>
      <c r="AR18" s="45">
        <v>1</v>
      </c>
      <c r="AS18" s="45">
        <v>1</v>
      </c>
      <c r="AT18" s="47">
        <v>46104.392361111109</v>
      </c>
      <c r="AU18" s="48" t="s">
        <v>63</v>
      </c>
    </row>
    <row r="19" spans="1:47" ht="13.5" customHeight="1" x14ac:dyDescent="0.2">
      <c r="A19" s="20" t="s">
        <v>81</v>
      </c>
      <c r="B19" s="20"/>
      <c r="C19" s="20"/>
      <c r="D19" s="20"/>
      <c r="E19" s="21">
        <v>231451</v>
      </c>
      <c r="F19" s="22">
        <v>2</v>
      </c>
      <c r="G19" s="22">
        <v>1</v>
      </c>
      <c r="H19" s="23" t="s">
        <v>28</v>
      </c>
      <c r="I19" s="20" t="s">
        <v>83</v>
      </c>
      <c r="J19" s="20"/>
      <c r="P19" s="45" t="s">
        <v>193</v>
      </c>
      <c r="Q19" s="45">
        <v>231451</v>
      </c>
      <c r="R19" s="45">
        <v>2</v>
      </c>
      <c r="S19" s="46">
        <v>1</v>
      </c>
      <c r="T19" s="51">
        <v>46104.574999999997</v>
      </c>
      <c r="U19" s="48" t="s">
        <v>63</v>
      </c>
      <c r="V19" s="48" t="s">
        <v>188</v>
      </c>
      <c r="AP19" s="45" t="s">
        <v>193</v>
      </c>
      <c r="AQ19" s="45">
        <v>231451</v>
      </c>
      <c r="AR19" s="45">
        <v>2</v>
      </c>
      <c r="AS19" s="45">
        <v>1</v>
      </c>
      <c r="AT19" s="47">
        <v>46104.434027777781</v>
      </c>
      <c r="AU19" s="48" t="s">
        <v>63</v>
      </c>
    </row>
    <row r="20" spans="1:47" ht="13.5" customHeight="1" x14ac:dyDescent="0.2">
      <c r="A20" s="20" t="s">
        <v>84</v>
      </c>
      <c r="B20" s="20"/>
      <c r="C20" s="20"/>
      <c r="D20" s="20"/>
      <c r="E20" s="21">
        <v>231452</v>
      </c>
      <c r="F20" s="22">
        <v>1</v>
      </c>
      <c r="G20" s="22">
        <v>4</v>
      </c>
      <c r="H20" s="23" t="s">
        <v>23</v>
      </c>
      <c r="I20" s="20" t="s">
        <v>24</v>
      </c>
      <c r="J20" s="20"/>
      <c r="P20" s="45" t="s">
        <v>194</v>
      </c>
      <c r="Q20" s="45">
        <v>231452</v>
      </c>
      <c r="R20" s="45">
        <v>1</v>
      </c>
      <c r="S20" s="46">
        <v>4</v>
      </c>
      <c r="T20" s="51">
        <v>46104.349305555559</v>
      </c>
      <c r="U20" s="48" t="s">
        <v>63</v>
      </c>
      <c r="V20" s="48" t="s">
        <v>188</v>
      </c>
      <c r="AP20" s="45" t="s">
        <v>194</v>
      </c>
      <c r="AQ20" s="45">
        <v>231452</v>
      </c>
      <c r="AR20" s="45">
        <v>1</v>
      </c>
      <c r="AS20" s="45">
        <v>4</v>
      </c>
      <c r="AT20" s="47">
        <v>46104.335416666669</v>
      </c>
      <c r="AU20" s="48" t="s">
        <v>63</v>
      </c>
    </row>
    <row r="21" spans="1:47" ht="13.5" customHeight="1" x14ac:dyDescent="0.2">
      <c r="A21" s="20" t="s">
        <v>84</v>
      </c>
      <c r="B21" s="20"/>
      <c r="C21" s="20"/>
      <c r="D21" s="20"/>
      <c r="E21" s="21">
        <v>231452</v>
      </c>
      <c r="F21" s="22">
        <v>2</v>
      </c>
      <c r="G21" s="22">
        <v>2</v>
      </c>
      <c r="H21" s="23" t="s">
        <v>25</v>
      </c>
      <c r="I21" s="20" t="s">
        <v>24</v>
      </c>
      <c r="J21" s="20"/>
      <c r="P21" s="45" t="s">
        <v>195</v>
      </c>
      <c r="Q21" s="45">
        <v>231452</v>
      </c>
      <c r="R21" s="45">
        <v>2</v>
      </c>
      <c r="S21" s="46">
        <v>2</v>
      </c>
      <c r="T21" s="51">
        <v>46104.352083333331</v>
      </c>
      <c r="U21" s="48" t="s">
        <v>63</v>
      </c>
      <c r="V21" s="48" t="s">
        <v>188</v>
      </c>
      <c r="AP21" s="45" t="s">
        <v>195</v>
      </c>
      <c r="AQ21" s="45">
        <v>231452</v>
      </c>
      <c r="AR21" s="45">
        <v>2</v>
      </c>
      <c r="AS21" s="45">
        <v>2</v>
      </c>
      <c r="AT21" s="47">
        <v>46104.334722222222</v>
      </c>
      <c r="AU21" s="48" t="s">
        <v>63</v>
      </c>
    </row>
    <row r="22" spans="1:47" ht="13.5" customHeight="1" x14ac:dyDescent="0.2">
      <c r="A22" s="20" t="s">
        <v>85</v>
      </c>
      <c r="B22" s="20"/>
      <c r="C22" s="20"/>
      <c r="D22" s="20"/>
      <c r="E22" s="21">
        <v>231453</v>
      </c>
      <c r="F22" s="22">
        <v>1</v>
      </c>
      <c r="G22" s="22">
        <v>4</v>
      </c>
      <c r="H22" s="23" t="s">
        <v>23</v>
      </c>
      <c r="I22" s="20" t="s">
        <v>24</v>
      </c>
      <c r="J22" s="20"/>
      <c r="P22" s="45" t="s">
        <v>196</v>
      </c>
      <c r="Q22" s="45">
        <v>231453</v>
      </c>
      <c r="R22" s="45">
        <v>1</v>
      </c>
      <c r="S22" s="46">
        <v>4</v>
      </c>
      <c r="T22" s="51">
        <v>46104.348611111112</v>
      </c>
      <c r="U22" s="48" t="s">
        <v>63</v>
      </c>
      <c r="V22" s="48" t="s">
        <v>188</v>
      </c>
      <c r="AP22" s="45" t="s">
        <v>196</v>
      </c>
      <c r="AQ22" s="45">
        <v>231453</v>
      </c>
      <c r="AR22" s="45">
        <v>1</v>
      </c>
      <c r="AS22" s="45">
        <v>4</v>
      </c>
      <c r="AT22" s="47">
        <v>46104.335416666669</v>
      </c>
      <c r="AU22" s="48" t="s">
        <v>63</v>
      </c>
    </row>
    <row r="23" spans="1:47" ht="13.5" customHeight="1" x14ac:dyDescent="0.2">
      <c r="A23" s="20" t="s">
        <v>85</v>
      </c>
      <c r="B23" s="20"/>
      <c r="C23" s="20"/>
      <c r="D23" s="20"/>
      <c r="E23" s="21">
        <v>231453</v>
      </c>
      <c r="F23" s="22">
        <v>2</v>
      </c>
      <c r="G23" s="22">
        <v>2</v>
      </c>
      <c r="H23" s="23" t="s">
        <v>25</v>
      </c>
      <c r="I23" s="20" t="s">
        <v>24</v>
      </c>
      <c r="J23" s="20"/>
      <c r="P23" s="45" t="s">
        <v>197</v>
      </c>
      <c r="Q23" s="45">
        <v>231453</v>
      </c>
      <c r="R23" s="45">
        <v>2</v>
      </c>
      <c r="S23" s="46">
        <v>1</v>
      </c>
      <c r="T23" s="51">
        <v>46104.351388888892</v>
      </c>
      <c r="U23" s="49" t="s">
        <v>198</v>
      </c>
      <c r="V23" s="48" t="s">
        <v>188</v>
      </c>
      <c r="AP23" s="45" t="s">
        <v>197</v>
      </c>
      <c r="AQ23" s="45">
        <v>231453</v>
      </c>
      <c r="AR23" s="45">
        <v>2</v>
      </c>
      <c r="AS23" s="45">
        <v>1</v>
      </c>
      <c r="AT23" s="47">
        <v>46104.351388888892</v>
      </c>
      <c r="AU23" s="49" t="s">
        <v>198</v>
      </c>
    </row>
    <row r="24" spans="1:47" ht="13.5" customHeight="1" x14ac:dyDescent="0.2">
      <c r="A24" s="20" t="s">
        <v>86</v>
      </c>
      <c r="B24" s="20"/>
      <c r="C24" s="20"/>
      <c r="D24" s="20"/>
      <c r="E24" s="21">
        <v>231454</v>
      </c>
      <c r="F24" s="22">
        <v>1</v>
      </c>
      <c r="G24" s="22">
        <v>2</v>
      </c>
      <c r="H24" s="23" t="s">
        <v>23</v>
      </c>
      <c r="I24" s="20" t="s">
        <v>24</v>
      </c>
      <c r="J24" s="20"/>
      <c r="P24" s="45" t="s">
        <v>199</v>
      </c>
      <c r="Q24" s="45">
        <v>231454</v>
      </c>
      <c r="R24" s="45">
        <v>1</v>
      </c>
      <c r="S24" s="46">
        <v>2</v>
      </c>
      <c r="T24" s="51">
        <v>46104.348611111112</v>
      </c>
      <c r="U24" s="48" t="s">
        <v>63</v>
      </c>
      <c r="V24" s="48" t="s">
        <v>188</v>
      </c>
      <c r="AP24" s="45" t="s">
        <v>199</v>
      </c>
      <c r="AQ24" s="45">
        <v>231454</v>
      </c>
      <c r="AR24" s="45">
        <v>1</v>
      </c>
      <c r="AS24" s="45">
        <v>2</v>
      </c>
      <c r="AT24" s="47">
        <v>46104.335416666669</v>
      </c>
      <c r="AU24" s="48" t="s">
        <v>63</v>
      </c>
    </row>
    <row r="25" spans="1:47" ht="13.5" customHeight="1" x14ac:dyDescent="0.2">
      <c r="A25" s="20" t="s">
        <v>86</v>
      </c>
      <c r="B25" s="20"/>
      <c r="C25" s="20"/>
      <c r="D25" s="20"/>
      <c r="E25" s="21">
        <v>231454</v>
      </c>
      <c r="F25" s="22">
        <v>2</v>
      </c>
      <c r="G25" s="22">
        <v>4</v>
      </c>
      <c r="H25" s="23" t="s">
        <v>25</v>
      </c>
      <c r="I25" s="20" t="s">
        <v>24</v>
      </c>
      <c r="J25" s="20"/>
      <c r="P25" s="45" t="s">
        <v>200</v>
      </c>
      <c r="Q25" s="45">
        <v>231454</v>
      </c>
      <c r="R25" s="45">
        <v>2</v>
      </c>
      <c r="S25" s="46">
        <v>4</v>
      </c>
      <c r="T25" s="51">
        <v>46104.353472222225</v>
      </c>
      <c r="U25" s="48" t="s">
        <v>63</v>
      </c>
      <c r="V25" s="48" t="s">
        <v>188</v>
      </c>
      <c r="AP25" s="45" t="s">
        <v>200</v>
      </c>
      <c r="AQ25" s="45">
        <v>231454</v>
      </c>
      <c r="AR25" s="45">
        <v>2</v>
      </c>
      <c r="AS25" s="45">
        <v>4</v>
      </c>
      <c r="AT25" s="47">
        <v>46104.336111111108</v>
      </c>
      <c r="AU25" s="48" t="s">
        <v>63</v>
      </c>
    </row>
    <row r="26" spans="1:47" ht="13.5" customHeight="1" x14ac:dyDescent="0.2">
      <c r="A26" s="20" t="s">
        <v>87</v>
      </c>
      <c r="B26" s="20"/>
      <c r="C26" s="20"/>
      <c r="D26" s="20"/>
      <c r="E26" s="21">
        <v>231455</v>
      </c>
      <c r="F26" s="22">
        <v>1</v>
      </c>
      <c r="G26" s="22">
        <v>4</v>
      </c>
      <c r="H26" s="23" t="s">
        <v>25</v>
      </c>
      <c r="I26" s="20" t="s">
        <v>24</v>
      </c>
      <c r="J26" s="20"/>
      <c r="P26" s="45" t="s">
        <v>201</v>
      </c>
      <c r="Q26" s="45">
        <v>231455</v>
      </c>
      <c r="R26" s="45">
        <v>1</v>
      </c>
      <c r="S26" s="46">
        <v>4</v>
      </c>
      <c r="T26" s="51">
        <v>46104.352777777778</v>
      </c>
      <c r="U26" s="48" t="s">
        <v>63</v>
      </c>
      <c r="V26" s="48" t="s">
        <v>188</v>
      </c>
      <c r="AP26" s="45" t="s">
        <v>201</v>
      </c>
      <c r="AQ26" s="45">
        <v>231455</v>
      </c>
      <c r="AR26" s="45">
        <v>1</v>
      </c>
      <c r="AS26" s="45">
        <v>4</v>
      </c>
      <c r="AT26" s="47">
        <v>46104.334722222222</v>
      </c>
      <c r="AU26" s="48" t="s">
        <v>63</v>
      </c>
    </row>
    <row r="27" spans="1:47" ht="13.5" customHeight="1" x14ac:dyDescent="0.2">
      <c r="A27" s="20" t="s">
        <v>88</v>
      </c>
      <c r="B27" s="20"/>
      <c r="C27" s="20"/>
      <c r="D27" s="20"/>
      <c r="E27" s="21">
        <v>231457</v>
      </c>
      <c r="F27" s="22">
        <v>1</v>
      </c>
      <c r="G27" s="22">
        <v>1</v>
      </c>
      <c r="H27" s="23" t="s">
        <v>89</v>
      </c>
      <c r="I27" s="20" t="s">
        <v>26</v>
      </c>
      <c r="J27" s="20"/>
      <c r="P27" s="45" t="s">
        <v>202</v>
      </c>
      <c r="Q27" s="45">
        <v>231457</v>
      </c>
      <c r="R27" s="45">
        <v>1</v>
      </c>
      <c r="S27" s="46">
        <v>1</v>
      </c>
      <c r="T27" s="51">
        <v>46104.38958333333</v>
      </c>
      <c r="U27" s="48" t="s">
        <v>63</v>
      </c>
      <c r="V27" s="48" t="s">
        <v>188</v>
      </c>
      <c r="AP27" s="45" t="s">
        <v>202</v>
      </c>
      <c r="AQ27" s="45">
        <v>231457</v>
      </c>
      <c r="AR27" s="45">
        <v>1</v>
      </c>
      <c r="AS27" s="45">
        <v>1</v>
      </c>
      <c r="AT27" s="47">
        <v>46104.38958333333</v>
      </c>
      <c r="AU27" s="48" t="s">
        <v>63</v>
      </c>
    </row>
    <row r="28" spans="1:47" ht="13.5" customHeight="1" x14ac:dyDescent="0.2">
      <c r="A28" s="20" t="s">
        <v>88</v>
      </c>
      <c r="B28" s="20"/>
      <c r="C28" s="20"/>
      <c r="D28" s="20"/>
      <c r="E28" s="21">
        <v>231457</v>
      </c>
      <c r="F28" s="22">
        <v>2</v>
      </c>
      <c r="G28" s="22">
        <v>1</v>
      </c>
      <c r="H28" s="23" t="s">
        <v>90</v>
      </c>
      <c r="I28" s="20" t="s">
        <v>26</v>
      </c>
      <c r="J28" s="20"/>
      <c r="P28" s="45" t="s">
        <v>203</v>
      </c>
      <c r="Q28" s="45">
        <v>231457</v>
      </c>
      <c r="R28" s="45">
        <v>2</v>
      </c>
      <c r="S28" s="46">
        <v>1</v>
      </c>
      <c r="T28" s="51">
        <v>46104.39166666667</v>
      </c>
      <c r="U28" s="48" t="s">
        <v>63</v>
      </c>
      <c r="V28" s="48" t="s">
        <v>188</v>
      </c>
      <c r="AP28" s="45" t="s">
        <v>203</v>
      </c>
      <c r="AQ28" s="45">
        <v>231457</v>
      </c>
      <c r="AR28" s="45">
        <v>2</v>
      </c>
      <c r="AS28" s="45">
        <v>1</v>
      </c>
      <c r="AT28" s="47">
        <v>46104.39166666667</v>
      </c>
      <c r="AU28" s="48" t="s">
        <v>63</v>
      </c>
    </row>
    <row r="29" spans="1:47" ht="13.5" customHeight="1" x14ac:dyDescent="0.2">
      <c r="A29" s="20" t="s">
        <v>91</v>
      </c>
      <c r="B29" s="20"/>
      <c r="C29" s="20"/>
      <c r="D29" s="20"/>
      <c r="E29" s="21">
        <v>231458</v>
      </c>
      <c r="F29" s="22">
        <v>1</v>
      </c>
      <c r="G29" s="22">
        <v>1</v>
      </c>
      <c r="H29" s="23" t="s">
        <v>53</v>
      </c>
      <c r="I29" s="20" t="s">
        <v>26</v>
      </c>
      <c r="J29" s="20"/>
      <c r="P29" s="45" t="s">
        <v>204</v>
      </c>
      <c r="Q29" s="45">
        <v>231458</v>
      </c>
      <c r="R29" s="45">
        <v>1</v>
      </c>
      <c r="S29" s="46">
        <v>1</v>
      </c>
      <c r="T29" s="51">
        <v>46104.390972222223</v>
      </c>
      <c r="U29" s="48" t="s">
        <v>63</v>
      </c>
      <c r="V29" s="48" t="s">
        <v>188</v>
      </c>
      <c r="AP29" s="45" t="s">
        <v>204</v>
      </c>
      <c r="AQ29" s="45">
        <v>231458</v>
      </c>
      <c r="AR29" s="45">
        <v>1</v>
      </c>
      <c r="AS29" s="45">
        <v>1</v>
      </c>
      <c r="AT29" s="47">
        <v>46104.390972222223</v>
      </c>
      <c r="AU29" s="48" t="s">
        <v>63</v>
      </c>
    </row>
    <row r="30" spans="1:47" ht="13.5" customHeight="1" x14ac:dyDescent="0.2">
      <c r="A30" s="20" t="s">
        <v>91</v>
      </c>
      <c r="B30" s="20"/>
      <c r="C30" s="20"/>
      <c r="D30" s="20"/>
      <c r="E30" s="21">
        <v>231458</v>
      </c>
      <c r="F30" s="22">
        <v>2</v>
      </c>
      <c r="G30" s="22">
        <v>1</v>
      </c>
      <c r="H30" s="23" t="s">
        <v>43</v>
      </c>
      <c r="I30" s="20" t="s">
        <v>26</v>
      </c>
      <c r="J30" s="20"/>
      <c r="P30" s="45" t="s">
        <v>205</v>
      </c>
      <c r="Q30" s="45">
        <v>231458</v>
      </c>
      <c r="R30" s="45">
        <v>2</v>
      </c>
      <c r="S30" s="46">
        <v>1</v>
      </c>
      <c r="T30" s="51">
        <v>46104.39166666667</v>
      </c>
      <c r="U30" s="48" t="s">
        <v>63</v>
      </c>
      <c r="V30" s="48" t="s">
        <v>188</v>
      </c>
      <c r="AP30" s="45" t="s">
        <v>205</v>
      </c>
      <c r="AQ30" s="45">
        <v>231458</v>
      </c>
      <c r="AR30" s="45">
        <v>2</v>
      </c>
      <c r="AS30" s="45">
        <v>1</v>
      </c>
      <c r="AT30" s="47">
        <v>46104.39166666667</v>
      </c>
      <c r="AU30" s="48" t="s">
        <v>63</v>
      </c>
    </row>
    <row r="31" spans="1:47" ht="13.5" customHeight="1" x14ac:dyDescent="0.2">
      <c r="A31" s="20" t="s">
        <v>92</v>
      </c>
      <c r="B31" s="20"/>
      <c r="C31" s="20"/>
      <c r="D31" s="20"/>
      <c r="E31" s="21">
        <v>231459</v>
      </c>
      <c r="F31" s="22">
        <v>1</v>
      </c>
      <c r="G31" s="22">
        <v>2</v>
      </c>
      <c r="H31" s="23" t="s">
        <v>53</v>
      </c>
      <c r="I31" s="20" t="s">
        <v>26</v>
      </c>
      <c r="J31" s="20"/>
      <c r="P31" s="45" t="s">
        <v>206</v>
      </c>
      <c r="Q31" s="45">
        <v>231459</v>
      </c>
      <c r="R31" s="45">
        <v>1</v>
      </c>
      <c r="S31" s="46">
        <v>2</v>
      </c>
      <c r="T31" s="51">
        <v>46104.390277777777</v>
      </c>
      <c r="U31" s="48" t="s">
        <v>63</v>
      </c>
      <c r="V31" s="48" t="s">
        <v>188</v>
      </c>
      <c r="AP31" s="45" t="s">
        <v>206</v>
      </c>
      <c r="AQ31" s="45">
        <v>231459</v>
      </c>
      <c r="AR31" s="45">
        <v>1</v>
      </c>
      <c r="AS31" s="45">
        <v>2</v>
      </c>
      <c r="AT31" s="47">
        <v>46104.390277777777</v>
      </c>
      <c r="AU31" s="48" t="s">
        <v>63</v>
      </c>
    </row>
    <row r="32" spans="1:47" ht="13.5" customHeight="1" x14ac:dyDescent="0.2">
      <c r="A32" s="20" t="s">
        <v>93</v>
      </c>
      <c r="B32" s="20"/>
      <c r="C32" s="20"/>
      <c r="D32" s="20"/>
      <c r="E32" s="21">
        <v>231461</v>
      </c>
      <c r="F32" s="22">
        <v>1</v>
      </c>
      <c r="G32" s="22">
        <v>1</v>
      </c>
      <c r="H32" s="23" t="s">
        <v>94</v>
      </c>
      <c r="I32" s="20" t="s">
        <v>52</v>
      </c>
      <c r="J32" s="20"/>
      <c r="P32" s="45" t="s">
        <v>207</v>
      </c>
      <c r="Q32" s="45">
        <v>231461</v>
      </c>
      <c r="R32" s="45">
        <v>1</v>
      </c>
      <c r="S32" s="46">
        <v>1</v>
      </c>
      <c r="T32" s="51">
        <v>46104.34652777778</v>
      </c>
      <c r="U32" s="48" t="s">
        <v>63</v>
      </c>
      <c r="V32" s="48" t="s">
        <v>188</v>
      </c>
      <c r="AP32" s="45" t="s">
        <v>207</v>
      </c>
      <c r="AQ32" s="45">
        <v>231461</v>
      </c>
      <c r="AR32" s="45">
        <v>1</v>
      </c>
      <c r="AS32" s="45">
        <v>1</v>
      </c>
      <c r="AT32" s="47">
        <v>46104.345833333333</v>
      </c>
      <c r="AU32" s="48" t="s">
        <v>63</v>
      </c>
    </row>
    <row r="33" spans="1:47" ht="13.5" customHeight="1" x14ac:dyDescent="0.2">
      <c r="A33" s="20" t="s">
        <v>93</v>
      </c>
      <c r="B33" s="20"/>
      <c r="C33" s="20"/>
      <c r="D33" s="20"/>
      <c r="E33" s="21">
        <v>231461</v>
      </c>
      <c r="F33" s="22">
        <v>2</v>
      </c>
      <c r="G33" s="22">
        <v>1</v>
      </c>
      <c r="H33" s="23" t="s">
        <v>48</v>
      </c>
      <c r="I33" s="20" t="s">
        <v>52</v>
      </c>
      <c r="J33" s="20"/>
      <c r="P33" s="45" t="s">
        <v>208</v>
      </c>
      <c r="Q33" s="45">
        <v>231461</v>
      </c>
      <c r="R33" s="45">
        <v>2</v>
      </c>
      <c r="S33" s="46">
        <v>1</v>
      </c>
      <c r="T33" s="51">
        <v>46104.388888888891</v>
      </c>
      <c r="U33" s="48" t="s">
        <v>63</v>
      </c>
      <c r="V33" s="48" t="s">
        <v>188</v>
      </c>
      <c r="AP33" s="45" t="s">
        <v>208</v>
      </c>
      <c r="AQ33" s="45">
        <v>231461</v>
      </c>
      <c r="AR33" s="45">
        <v>2</v>
      </c>
      <c r="AS33" s="45">
        <v>1</v>
      </c>
      <c r="AT33" s="47">
        <v>46104.388888888891</v>
      </c>
      <c r="AU33" s="48" t="s">
        <v>63</v>
      </c>
    </row>
    <row r="34" spans="1:47" ht="13.5" customHeight="1" x14ac:dyDescent="0.2">
      <c r="A34" s="20" t="s">
        <v>95</v>
      </c>
      <c r="B34" s="20"/>
      <c r="C34" s="20"/>
      <c r="D34" s="20"/>
      <c r="E34" s="21">
        <v>231462</v>
      </c>
      <c r="F34" s="22">
        <v>1</v>
      </c>
      <c r="G34" s="22">
        <v>1</v>
      </c>
      <c r="H34" s="23" t="s">
        <v>44</v>
      </c>
      <c r="I34" s="20" t="s">
        <v>96</v>
      </c>
      <c r="J34" s="20"/>
      <c r="P34" s="45" t="s">
        <v>209</v>
      </c>
      <c r="Q34" s="45">
        <v>231462</v>
      </c>
      <c r="R34" s="45">
        <v>1</v>
      </c>
      <c r="S34" s="46">
        <v>1</v>
      </c>
      <c r="T34" s="51">
        <v>46104.347222222219</v>
      </c>
      <c r="U34" s="48" t="s">
        <v>63</v>
      </c>
      <c r="V34" s="48" t="s">
        <v>188</v>
      </c>
      <c r="AP34" s="45" t="s">
        <v>209</v>
      </c>
      <c r="AQ34" s="45">
        <v>231462</v>
      </c>
      <c r="AR34" s="45">
        <v>1</v>
      </c>
      <c r="AS34" s="45">
        <v>1</v>
      </c>
      <c r="AT34" s="47">
        <v>46104.345833333333</v>
      </c>
      <c r="AU34" s="48" t="s">
        <v>63</v>
      </c>
    </row>
    <row r="35" spans="1:47" ht="13.5" customHeight="1" x14ac:dyDescent="0.2">
      <c r="A35" s="20" t="s">
        <v>95</v>
      </c>
      <c r="B35" s="20"/>
      <c r="C35" s="20"/>
      <c r="D35" s="20"/>
      <c r="E35" s="21">
        <v>231462</v>
      </c>
      <c r="F35" s="22">
        <v>2</v>
      </c>
      <c r="G35" s="22">
        <v>1</v>
      </c>
      <c r="H35" s="23" t="s">
        <v>51</v>
      </c>
      <c r="I35" s="20" t="s">
        <v>96</v>
      </c>
      <c r="J35" s="20"/>
      <c r="P35" s="45" t="s">
        <v>210</v>
      </c>
      <c r="Q35" s="45">
        <v>231462</v>
      </c>
      <c r="R35" s="45">
        <v>2</v>
      </c>
      <c r="S35" s="46">
        <v>1</v>
      </c>
      <c r="T35" s="51">
        <v>46104.393750000003</v>
      </c>
      <c r="U35" s="48" t="s">
        <v>63</v>
      </c>
      <c r="V35" s="48" t="s">
        <v>188</v>
      </c>
      <c r="AP35" s="45" t="s">
        <v>210</v>
      </c>
      <c r="AQ35" s="45">
        <v>231462</v>
      </c>
      <c r="AR35" s="45">
        <v>2</v>
      </c>
      <c r="AS35" s="45">
        <v>1</v>
      </c>
      <c r="AT35" s="47">
        <v>46104.393750000003</v>
      </c>
      <c r="AU35" s="48" t="s">
        <v>63</v>
      </c>
    </row>
    <row r="36" spans="1:47" ht="13.5" customHeight="1" x14ac:dyDescent="0.2">
      <c r="A36" s="20" t="s">
        <v>95</v>
      </c>
      <c r="B36" s="20"/>
      <c r="C36" s="20"/>
      <c r="D36" s="20"/>
      <c r="E36" s="21">
        <v>231462</v>
      </c>
      <c r="F36" s="22">
        <v>3</v>
      </c>
      <c r="G36" s="22">
        <v>1</v>
      </c>
      <c r="H36" s="23" t="s">
        <v>97</v>
      </c>
      <c r="I36" s="20" t="s">
        <v>96</v>
      </c>
      <c r="J36" s="20"/>
      <c r="P36" s="45" t="s">
        <v>211</v>
      </c>
      <c r="Q36" s="45">
        <v>231462</v>
      </c>
      <c r="R36" s="45">
        <v>3</v>
      </c>
      <c r="S36" s="46">
        <v>1</v>
      </c>
      <c r="T36" s="51">
        <v>46104.393055555556</v>
      </c>
      <c r="U36" s="48" t="s">
        <v>63</v>
      </c>
      <c r="V36" s="48" t="s">
        <v>188</v>
      </c>
      <c r="AP36" s="45" t="s">
        <v>211</v>
      </c>
      <c r="AQ36" s="45">
        <v>231462</v>
      </c>
      <c r="AR36" s="45">
        <v>3</v>
      </c>
      <c r="AS36" s="45">
        <v>1</v>
      </c>
      <c r="AT36" s="47">
        <v>46104.392361111109</v>
      </c>
      <c r="AU36" s="48" t="s">
        <v>63</v>
      </c>
    </row>
    <row r="37" spans="1:47" ht="13.5" customHeight="1" x14ac:dyDescent="0.2">
      <c r="A37" s="20" t="s">
        <v>98</v>
      </c>
      <c r="B37" s="20"/>
      <c r="C37" s="20"/>
      <c r="D37" s="20"/>
      <c r="E37" s="21">
        <v>231463</v>
      </c>
      <c r="F37" s="22">
        <v>1</v>
      </c>
      <c r="G37" s="22">
        <v>1</v>
      </c>
      <c r="H37" s="23" t="s">
        <v>94</v>
      </c>
      <c r="I37" s="20" t="s">
        <v>52</v>
      </c>
      <c r="J37" s="20"/>
      <c r="P37" s="45" t="s">
        <v>212</v>
      </c>
      <c r="Q37" s="45">
        <v>231463</v>
      </c>
      <c r="R37" s="45">
        <v>1</v>
      </c>
      <c r="S37" s="46">
        <v>1</v>
      </c>
      <c r="T37" s="51">
        <v>46104.347222222219</v>
      </c>
      <c r="U37" s="48" t="s">
        <v>63</v>
      </c>
      <c r="V37" s="48" t="s">
        <v>188</v>
      </c>
      <c r="AP37" s="45" t="s">
        <v>212</v>
      </c>
      <c r="AQ37" s="45">
        <v>231463</v>
      </c>
      <c r="AR37" s="45">
        <v>1</v>
      </c>
      <c r="AS37" s="45">
        <v>1</v>
      </c>
      <c r="AT37" s="47">
        <v>46104.345833333333</v>
      </c>
      <c r="AU37" s="48" t="s">
        <v>63</v>
      </c>
    </row>
    <row r="38" spans="1:47" ht="13.5" customHeight="1" x14ac:dyDescent="0.2">
      <c r="A38" s="20" t="s">
        <v>98</v>
      </c>
      <c r="B38" s="20"/>
      <c r="C38" s="20"/>
      <c r="D38" s="20"/>
      <c r="E38" s="21">
        <v>231463</v>
      </c>
      <c r="F38" s="22">
        <v>2</v>
      </c>
      <c r="G38" s="22">
        <v>1</v>
      </c>
      <c r="H38" s="23" t="s">
        <v>97</v>
      </c>
      <c r="I38" s="20" t="s">
        <v>52</v>
      </c>
      <c r="J38" s="20"/>
      <c r="P38" s="45" t="s">
        <v>213</v>
      </c>
      <c r="Q38" s="45">
        <v>231463</v>
      </c>
      <c r="R38" s="45">
        <v>2</v>
      </c>
      <c r="S38" s="46">
        <v>1</v>
      </c>
      <c r="T38" s="51">
        <v>46104.393750000003</v>
      </c>
      <c r="U38" s="48" t="s">
        <v>63</v>
      </c>
      <c r="V38" s="48" t="s">
        <v>188</v>
      </c>
      <c r="AP38" s="45" t="s">
        <v>213</v>
      </c>
      <c r="AQ38" s="45">
        <v>231463</v>
      </c>
      <c r="AR38" s="45">
        <v>2</v>
      </c>
      <c r="AS38" s="45">
        <v>1</v>
      </c>
      <c r="AT38" s="47">
        <v>46104.393055555556</v>
      </c>
      <c r="AU38" s="48" t="s">
        <v>63</v>
      </c>
    </row>
    <row r="39" spans="1:47" ht="13.5" customHeight="1" x14ac:dyDescent="0.2">
      <c r="A39" s="20" t="s">
        <v>99</v>
      </c>
      <c r="B39" s="20"/>
      <c r="C39" s="20"/>
      <c r="D39" s="20"/>
      <c r="E39" s="21">
        <v>231464</v>
      </c>
      <c r="F39" s="22">
        <v>1</v>
      </c>
      <c r="G39" s="22">
        <v>1</v>
      </c>
      <c r="H39" s="23" t="s">
        <v>94</v>
      </c>
      <c r="I39" s="20" t="s">
        <v>45</v>
      </c>
      <c r="J39" s="20"/>
      <c r="P39" s="45" t="s">
        <v>214</v>
      </c>
      <c r="Q39" s="45">
        <v>231464</v>
      </c>
      <c r="R39" s="45">
        <v>1</v>
      </c>
      <c r="S39" s="46">
        <v>1</v>
      </c>
      <c r="T39" s="51">
        <v>46104.34652777778</v>
      </c>
      <c r="U39" s="48" t="s">
        <v>63</v>
      </c>
      <c r="V39" s="48" t="s">
        <v>188</v>
      </c>
      <c r="AP39" s="45" t="s">
        <v>214</v>
      </c>
      <c r="AQ39" s="45">
        <v>231464</v>
      </c>
      <c r="AR39" s="45">
        <v>1</v>
      </c>
      <c r="AS39" s="45">
        <v>1</v>
      </c>
      <c r="AT39" s="47">
        <v>46104.345833333333</v>
      </c>
      <c r="AU39" s="48" t="s">
        <v>63</v>
      </c>
    </row>
    <row r="40" spans="1:47" ht="13.5" customHeight="1" x14ac:dyDescent="0.2">
      <c r="A40" s="20" t="s">
        <v>100</v>
      </c>
      <c r="B40" s="20"/>
      <c r="C40" s="20"/>
      <c r="D40" s="20"/>
      <c r="E40" s="21">
        <v>231465</v>
      </c>
      <c r="F40" s="22">
        <v>1</v>
      </c>
      <c r="G40" s="22">
        <v>4</v>
      </c>
      <c r="H40" s="23" t="s">
        <v>25</v>
      </c>
      <c r="I40" s="20" t="s">
        <v>24</v>
      </c>
      <c r="J40" s="20"/>
      <c r="P40" s="45" t="s">
        <v>215</v>
      </c>
      <c r="Q40" s="45">
        <v>231465</v>
      </c>
      <c r="R40" s="45">
        <v>1</v>
      </c>
      <c r="S40" s="46">
        <v>4</v>
      </c>
      <c r="T40" s="51">
        <v>46104.415277777778</v>
      </c>
      <c r="U40" s="48" t="s">
        <v>63</v>
      </c>
      <c r="V40" s="48" t="s">
        <v>188</v>
      </c>
      <c r="AP40" s="45" t="s">
        <v>215</v>
      </c>
      <c r="AQ40" s="45">
        <v>231465</v>
      </c>
      <c r="AR40" s="45">
        <v>1</v>
      </c>
      <c r="AS40" s="45">
        <v>4</v>
      </c>
      <c r="AT40" s="47">
        <v>46104.334027777775</v>
      </c>
      <c r="AU40" s="48" t="s">
        <v>63</v>
      </c>
    </row>
    <row r="41" spans="1:47" ht="13.5" customHeight="1" x14ac:dyDescent="0.2">
      <c r="A41" s="20" t="s">
        <v>101</v>
      </c>
      <c r="B41" s="20"/>
      <c r="C41" s="20"/>
      <c r="D41" s="20"/>
      <c r="E41" s="21">
        <v>231466</v>
      </c>
      <c r="F41" s="22">
        <v>1</v>
      </c>
      <c r="G41" s="22">
        <v>1</v>
      </c>
      <c r="H41" s="23" t="s">
        <v>102</v>
      </c>
      <c r="I41" s="20" t="s">
        <v>103</v>
      </c>
      <c r="J41" s="20"/>
      <c r="P41" s="45" t="s">
        <v>216</v>
      </c>
      <c r="Q41" s="45">
        <v>231466</v>
      </c>
      <c r="R41" s="45">
        <v>1</v>
      </c>
      <c r="S41" s="46">
        <v>1</v>
      </c>
      <c r="T41" s="51">
        <v>46104.352083333331</v>
      </c>
      <c r="U41" s="48" t="s">
        <v>63</v>
      </c>
      <c r="V41" s="48" t="s">
        <v>188</v>
      </c>
      <c r="AP41" s="45" t="s">
        <v>216</v>
      </c>
      <c r="AQ41" s="45">
        <v>231466</v>
      </c>
      <c r="AR41" s="45">
        <v>1</v>
      </c>
      <c r="AS41" s="45">
        <v>1</v>
      </c>
      <c r="AT41" s="47">
        <v>46104.334722222222</v>
      </c>
      <c r="AU41" s="48" t="s">
        <v>63</v>
      </c>
    </row>
    <row r="42" spans="1:47" ht="13.5" customHeight="1" x14ac:dyDescent="0.2">
      <c r="A42" s="20" t="s">
        <v>101</v>
      </c>
      <c r="B42" s="20"/>
      <c r="C42" s="20"/>
      <c r="D42" s="20"/>
      <c r="E42" s="21">
        <v>231466</v>
      </c>
      <c r="F42" s="22">
        <v>2</v>
      </c>
      <c r="G42" s="22">
        <v>1</v>
      </c>
      <c r="H42" s="23" t="s">
        <v>104</v>
      </c>
      <c r="I42" s="20" t="s">
        <v>103</v>
      </c>
      <c r="J42" s="20"/>
      <c r="P42" s="45" t="s">
        <v>217</v>
      </c>
      <c r="Q42" s="45">
        <v>231466</v>
      </c>
      <c r="R42" s="45">
        <v>2</v>
      </c>
      <c r="S42" s="46">
        <v>1</v>
      </c>
      <c r="T42" s="51">
        <v>46104.393055555556</v>
      </c>
      <c r="U42" s="48" t="s">
        <v>63</v>
      </c>
      <c r="V42" s="48" t="s">
        <v>188</v>
      </c>
      <c r="AP42" s="45" t="s">
        <v>217</v>
      </c>
      <c r="AQ42" s="45">
        <v>231466</v>
      </c>
      <c r="AR42" s="45">
        <v>2</v>
      </c>
      <c r="AS42" s="45">
        <v>1</v>
      </c>
      <c r="AT42" s="47">
        <v>46104.393055555556</v>
      </c>
      <c r="AU42" s="48" t="s">
        <v>63</v>
      </c>
    </row>
    <row r="43" spans="1:47" ht="13.5" customHeight="1" x14ac:dyDescent="0.2">
      <c r="A43" s="20" t="s">
        <v>101</v>
      </c>
      <c r="B43" s="20"/>
      <c r="C43" s="20"/>
      <c r="D43" s="20"/>
      <c r="E43" s="21">
        <v>231466</v>
      </c>
      <c r="F43" s="22">
        <v>3</v>
      </c>
      <c r="G43" s="22">
        <v>1</v>
      </c>
      <c r="H43" s="23" t="s">
        <v>105</v>
      </c>
      <c r="I43" s="20" t="s">
        <v>103</v>
      </c>
      <c r="J43" s="20"/>
      <c r="P43" s="45" t="s">
        <v>218</v>
      </c>
      <c r="Q43" s="45">
        <v>231466</v>
      </c>
      <c r="R43" s="45">
        <v>3</v>
      </c>
      <c r="S43" s="46">
        <v>1</v>
      </c>
      <c r="T43" s="51">
        <v>46104.413194444445</v>
      </c>
      <c r="U43" s="48" t="s">
        <v>63</v>
      </c>
      <c r="V43" s="48" t="s">
        <v>188</v>
      </c>
      <c r="AP43" s="45" t="s">
        <v>218</v>
      </c>
      <c r="AQ43" s="45">
        <v>231466</v>
      </c>
      <c r="AR43" s="45">
        <v>3</v>
      </c>
      <c r="AS43" s="45">
        <v>1</v>
      </c>
      <c r="AT43" s="47">
        <v>46104.413194444445</v>
      </c>
      <c r="AU43" s="48" t="s">
        <v>63</v>
      </c>
    </row>
    <row r="44" spans="1:47" ht="13.5" customHeight="1" x14ac:dyDescent="0.2">
      <c r="A44" s="20" t="s">
        <v>106</v>
      </c>
      <c r="B44" s="20"/>
      <c r="C44" s="20"/>
      <c r="D44" s="20"/>
      <c r="E44" s="21">
        <v>231467</v>
      </c>
      <c r="F44" s="22">
        <v>1</v>
      </c>
      <c r="G44" s="22">
        <v>1</v>
      </c>
      <c r="H44" s="23" t="s">
        <v>102</v>
      </c>
      <c r="I44" s="20" t="s">
        <v>103</v>
      </c>
      <c r="J44" s="20"/>
      <c r="P44" s="45" t="s">
        <v>219</v>
      </c>
      <c r="Q44" s="45">
        <v>231467</v>
      </c>
      <c r="R44" s="45">
        <v>1</v>
      </c>
      <c r="S44" s="46">
        <v>1</v>
      </c>
      <c r="T44" s="51">
        <v>46104.352083333331</v>
      </c>
      <c r="U44" s="48" t="s">
        <v>63</v>
      </c>
      <c r="V44" s="48" t="s">
        <v>188</v>
      </c>
      <c r="AP44" s="45" t="s">
        <v>219</v>
      </c>
      <c r="AQ44" s="45">
        <v>231467</v>
      </c>
      <c r="AR44" s="45">
        <v>1</v>
      </c>
      <c r="AS44" s="45">
        <v>1</v>
      </c>
      <c r="AT44" s="47">
        <v>46104.334722222222</v>
      </c>
      <c r="AU44" s="48" t="s">
        <v>63</v>
      </c>
    </row>
    <row r="45" spans="1:47" ht="13.5" customHeight="1" x14ac:dyDescent="0.2">
      <c r="A45" s="20" t="s">
        <v>106</v>
      </c>
      <c r="B45" s="20"/>
      <c r="C45" s="20"/>
      <c r="D45" s="20"/>
      <c r="E45" s="21">
        <v>231467</v>
      </c>
      <c r="F45" s="22">
        <v>2</v>
      </c>
      <c r="G45" s="22">
        <v>1</v>
      </c>
      <c r="H45" s="23" t="s">
        <v>104</v>
      </c>
      <c r="I45" s="20" t="s">
        <v>103</v>
      </c>
      <c r="J45" s="20"/>
      <c r="P45" s="45" t="s">
        <v>220</v>
      </c>
      <c r="Q45" s="45">
        <v>231467</v>
      </c>
      <c r="R45" s="45">
        <v>2</v>
      </c>
      <c r="S45" s="46">
        <v>1</v>
      </c>
      <c r="T45" s="51">
        <v>46104.393750000003</v>
      </c>
      <c r="U45" s="48" t="s">
        <v>63</v>
      </c>
      <c r="V45" s="48" t="s">
        <v>188</v>
      </c>
      <c r="AP45" s="45" t="s">
        <v>220</v>
      </c>
      <c r="AQ45" s="45">
        <v>231467</v>
      </c>
      <c r="AR45" s="45">
        <v>2</v>
      </c>
      <c r="AS45" s="45">
        <v>1</v>
      </c>
      <c r="AT45" s="47">
        <v>46104.393750000003</v>
      </c>
      <c r="AU45" s="48" t="s">
        <v>63</v>
      </c>
    </row>
    <row r="46" spans="1:47" ht="13.5" customHeight="1" x14ac:dyDescent="0.2">
      <c r="A46" s="20" t="s">
        <v>106</v>
      </c>
      <c r="B46" s="20"/>
      <c r="C46" s="20"/>
      <c r="D46" s="20"/>
      <c r="E46" s="21">
        <v>231467</v>
      </c>
      <c r="F46" s="22">
        <v>3</v>
      </c>
      <c r="G46" s="22">
        <v>1</v>
      </c>
      <c r="H46" s="23" t="s">
        <v>107</v>
      </c>
      <c r="I46" s="20" t="s">
        <v>103</v>
      </c>
      <c r="J46" s="20"/>
      <c r="P46" s="45" t="s">
        <v>221</v>
      </c>
      <c r="Q46" s="45">
        <v>231467</v>
      </c>
      <c r="R46" s="45">
        <v>3</v>
      </c>
      <c r="S46" s="46">
        <v>1</v>
      </c>
      <c r="T46" s="51">
        <v>46104.413194444445</v>
      </c>
      <c r="U46" s="48" t="s">
        <v>63</v>
      </c>
      <c r="V46" s="48" t="s">
        <v>188</v>
      </c>
      <c r="AP46" s="45" t="s">
        <v>221</v>
      </c>
      <c r="AQ46" s="45">
        <v>231467</v>
      </c>
      <c r="AR46" s="45">
        <v>3</v>
      </c>
      <c r="AS46" s="45">
        <v>1</v>
      </c>
      <c r="AT46" s="47">
        <v>46104.413194444445</v>
      </c>
      <c r="AU46" s="48" t="s">
        <v>63</v>
      </c>
    </row>
    <row r="47" spans="1:47" ht="13.5" customHeight="1" x14ac:dyDescent="0.2">
      <c r="A47" s="20" t="s">
        <v>108</v>
      </c>
      <c r="B47" s="20"/>
      <c r="C47" s="20"/>
      <c r="D47" s="20"/>
      <c r="E47" s="21">
        <v>231468</v>
      </c>
      <c r="F47" s="22">
        <v>1</v>
      </c>
      <c r="G47" s="22">
        <v>1</v>
      </c>
      <c r="H47" s="23" t="s">
        <v>28</v>
      </c>
      <c r="I47" s="20" t="s">
        <v>45</v>
      </c>
      <c r="J47" s="20"/>
      <c r="P47" s="45" t="s">
        <v>222</v>
      </c>
      <c r="Q47" s="45">
        <v>231468</v>
      </c>
      <c r="R47" s="45">
        <v>1</v>
      </c>
      <c r="S47" s="46">
        <v>1</v>
      </c>
      <c r="T47" s="51">
        <v>46104.574305555558</v>
      </c>
      <c r="U47" s="48" t="s">
        <v>63</v>
      </c>
      <c r="V47" s="48" t="s">
        <v>188</v>
      </c>
      <c r="AP47" s="45" t="s">
        <v>222</v>
      </c>
      <c r="AQ47" s="45">
        <v>231468</v>
      </c>
      <c r="AR47" s="45">
        <v>1</v>
      </c>
      <c r="AS47" s="45">
        <v>1</v>
      </c>
      <c r="AT47" s="47">
        <v>46104.434027777781</v>
      </c>
      <c r="AU47" s="48" t="s">
        <v>63</v>
      </c>
    </row>
    <row r="48" spans="1:47" ht="13.5" customHeight="1" x14ac:dyDescent="0.2">
      <c r="A48" s="20" t="s">
        <v>109</v>
      </c>
      <c r="B48" s="20"/>
      <c r="C48" s="20"/>
      <c r="D48" s="20"/>
      <c r="E48" s="21">
        <v>231469</v>
      </c>
      <c r="F48" s="22">
        <v>1</v>
      </c>
      <c r="G48" s="22">
        <v>1</v>
      </c>
      <c r="H48" s="23" t="s">
        <v>25</v>
      </c>
      <c r="I48" s="20" t="s">
        <v>24</v>
      </c>
      <c r="J48" s="20"/>
      <c r="P48" s="45" t="s">
        <v>223</v>
      </c>
      <c r="Q48" s="45">
        <v>231469</v>
      </c>
      <c r="R48" s="45">
        <v>1</v>
      </c>
      <c r="S48" s="46">
        <v>1</v>
      </c>
      <c r="T48" s="51">
        <v>46104.415277777778</v>
      </c>
      <c r="U48" s="48" t="s">
        <v>63</v>
      </c>
      <c r="V48" s="48" t="s">
        <v>188</v>
      </c>
      <c r="AP48" s="45" t="s">
        <v>223</v>
      </c>
      <c r="AQ48" s="45">
        <v>231469</v>
      </c>
      <c r="AR48" s="45">
        <v>1</v>
      </c>
      <c r="AS48" s="45">
        <v>1</v>
      </c>
      <c r="AT48" s="47">
        <v>46104.336111111108</v>
      </c>
      <c r="AU48" s="48" t="s">
        <v>63</v>
      </c>
    </row>
    <row r="49" spans="1:47" ht="13.5" customHeight="1" x14ac:dyDescent="0.2">
      <c r="A49" s="20" t="s">
        <v>110</v>
      </c>
      <c r="B49" s="20"/>
      <c r="C49" s="20"/>
      <c r="D49" s="20"/>
      <c r="E49" s="21">
        <v>231470</v>
      </c>
      <c r="F49" s="22">
        <v>1</v>
      </c>
      <c r="G49" s="22">
        <v>1</v>
      </c>
      <c r="H49" s="23" t="s">
        <v>111</v>
      </c>
      <c r="I49" s="20" t="s">
        <v>112</v>
      </c>
      <c r="J49" s="20"/>
      <c r="P49" s="45" t="s">
        <v>224</v>
      </c>
      <c r="Q49" s="45">
        <v>231470</v>
      </c>
      <c r="R49" s="45">
        <v>1</v>
      </c>
      <c r="S49" s="46">
        <v>1</v>
      </c>
      <c r="T49" s="51">
        <v>46104.390972222223</v>
      </c>
      <c r="U49" s="48" t="s">
        <v>63</v>
      </c>
      <c r="V49" s="48" t="s">
        <v>188</v>
      </c>
      <c r="AP49" s="45" t="s">
        <v>224</v>
      </c>
      <c r="AQ49" s="45">
        <v>231470</v>
      </c>
      <c r="AR49" s="45">
        <v>1</v>
      </c>
      <c r="AS49" s="45">
        <v>1</v>
      </c>
      <c r="AT49" s="47">
        <v>46104.390277777777</v>
      </c>
      <c r="AU49" s="48" t="s">
        <v>63</v>
      </c>
    </row>
    <row r="50" spans="1:47" ht="13.5" customHeight="1" x14ac:dyDescent="0.2">
      <c r="A50" s="20" t="s">
        <v>113</v>
      </c>
      <c r="B50" s="20"/>
      <c r="C50" s="20"/>
      <c r="D50" s="20"/>
      <c r="E50" s="21">
        <v>231471</v>
      </c>
      <c r="F50" s="22">
        <v>1</v>
      </c>
      <c r="G50" s="22">
        <v>1</v>
      </c>
      <c r="H50" s="23" t="s">
        <v>114</v>
      </c>
      <c r="I50" s="20" t="s">
        <v>45</v>
      </c>
      <c r="J50" s="20"/>
      <c r="P50" s="45" t="s">
        <v>225</v>
      </c>
      <c r="Q50" s="45">
        <v>231471</v>
      </c>
      <c r="R50" s="45">
        <v>1</v>
      </c>
      <c r="S50" s="46">
        <v>1</v>
      </c>
      <c r="T50" s="51">
        <v>46104.572916666664</v>
      </c>
      <c r="U50" s="48" t="s">
        <v>63</v>
      </c>
      <c r="V50" s="48" t="s">
        <v>188</v>
      </c>
      <c r="AP50" s="45" t="s">
        <v>225</v>
      </c>
      <c r="AQ50" s="45">
        <v>231471</v>
      </c>
      <c r="AR50" s="45">
        <v>1</v>
      </c>
      <c r="AS50" s="45">
        <v>1</v>
      </c>
      <c r="AT50" s="47">
        <v>46104.434027777781</v>
      </c>
      <c r="AU50" s="48" t="s">
        <v>63</v>
      </c>
    </row>
    <row r="51" spans="1:47" ht="13.5" customHeight="1" x14ac:dyDescent="0.2">
      <c r="A51" s="20" t="s">
        <v>115</v>
      </c>
      <c r="B51" s="20"/>
      <c r="C51" s="20"/>
      <c r="D51" s="20"/>
      <c r="E51" s="21">
        <v>231476</v>
      </c>
      <c r="F51" s="22">
        <v>1</v>
      </c>
      <c r="G51" s="22">
        <v>1</v>
      </c>
      <c r="H51" s="23" t="s">
        <v>23</v>
      </c>
      <c r="I51" s="20" t="s">
        <v>24</v>
      </c>
      <c r="J51" s="20"/>
      <c r="P51" s="45" t="s">
        <v>226</v>
      </c>
      <c r="Q51" s="45">
        <v>231476</v>
      </c>
      <c r="R51" s="45">
        <v>1</v>
      </c>
      <c r="S51" s="46">
        <v>1</v>
      </c>
      <c r="T51" s="51">
        <v>46104.349305555559</v>
      </c>
      <c r="U51" s="48" t="s">
        <v>63</v>
      </c>
      <c r="V51" s="48" t="s">
        <v>188</v>
      </c>
      <c r="AP51" s="45" t="s">
        <v>226</v>
      </c>
      <c r="AQ51" s="45">
        <v>231476</v>
      </c>
      <c r="AR51" s="45">
        <v>1</v>
      </c>
      <c r="AS51" s="45">
        <v>1</v>
      </c>
      <c r="AT51" s="47">
        <v>46104.335416666669</v>
      </c>
      <c r="AU51" s="48" t="s">
        <v>63</v>
      </c>
    </row>
    <row r="52" spans="1:47" ht="13.5" customHeight="1" x14ac:dyDescent="0.2">
      <c r="A52" s="20" t="s">
        <v>115</v>
      </c>
      <c r="B52" s="20"/>
      <c r="C52" s="20"/>
      <c r="D52" s="20"/>
      <c r="E52" s="21">
        <v>231476</v>
      </c>
      <c r="F52" s="22">
        <v>2</v>
      </c>
      <c r="G52" s="22">
        <v>4</v>
      </c>
      <c r="H52" s="23" t="s">
        <v>25</v>
      </c>
      <c r="I52" s="20" t="s">
        <v>24</v>
      </c>
      <c r="J52" s="20"/>
      <c r="P52" s="45" t="s">
        <v>227</v>
      </c>
      <c r="Q52" s="45">
        <v>231476</v>
      </c>
      <c r="R52" s="45">
        <v>2</v>
      </c>
      <c r="S52" s="46">
        <v>4</v>
      </c>
      <c r="T52" s="51">
        <v>46104.414583333331</v>
      </c>
      <c r="U52" s="48" t="s">
        <v>63</v>
      </c>
      <c r="V52" s="48" t="s">
        <v>188</v>
      </c>
      <c r="AP52" s="45" t="s">
        <v>227</v>
      </c>
      <c r="AQ52" s="45">
        <v>231476</v>
      </c>
      <c r="AR52" s="45">
        <v>2</v>
      </c>
      <c r="AS52" s="45">
        <v>4</v>
      </c>
      <c r="AT52" s="47">
        <v>46104.335416666669</v>
      </c>
      <c r="AU52" s="48" t="s">
        <v>63</v>
      </c>
    </row>
    <row r="53" spans="1:47" ht="13.5" customHeight="1" x14ac:dyDescent="0.2">
      <c r="A53" s="20" t="s">
        <v>116</v>
      </c>
      <c r="B53" s="20"/>
      <c r="C53" s="20"/>
      <c r="D53" s="20"/>
      <c r="E53" s="21">
        <v>231477</v>
      </c>
      <c r="F53" s="22">
        <v>1</v>
      </c>
      <c r="G53" s="22">
        <v>3</v>
      </c>
      <c r="H53" s="23" t="s">
        <v>25</v>
      </c>
      <c r="I53" s="20" t="s">
        <v>24</v>
      </c>
      <c r="J53" s="20"/>
      <c r="P53" s="45" t="s">
        <v>228</v>
      </c>
      <c r="Q53" s="45">
        <v>231477</v>
      </c>
      <c r="R53" s="45">
        <v>1</v>
      </c>
      <c r="S53" s="46">
        <v>3</v>
      </c>
      <c r="T53" s="51">
        <v>46104.415277777778</v>
      </c>
      <c r="U53" s="48" t="s">
        <v>63</v>
      </c>
      <c r="V53" s="48" t="s">
        <v>188</v>
      </c>
      <c r="AP53" s="45" t="s">
        <v>228</v>
      </c>
      <c r="AQ53" s="45">
        <v>231477</v>
      </c>
      <c r="AR53" s="45">
        <v>1</v>
      </c>
      <c r="AS53" s="45">
        <v>3</v>
      </c>
      <c r="AT53" s="47">
        <v>46104.336111111108</v>
      </c>
      <c r="AU53" s="48" t="s">
        <v>63</v>
      </c>
    </row>
    <row r="54" spans="1:47" ht="13.5" customHeight="1" x14ac:dyDescent="0.2">
      <c r="A54" s="20" t="s">
        <v>117</v>
      </c>
      <c r="B54" s="20"/>
      <c r="C54" s="20"/>
      <c r="D54" s="20"/>
      <c r="E54" s="21">
        <v>231478</v>
      </c>
      <c r="F54" s="22">
        <v>1</v>
      </c>
      <c r="G54" s="22">
        <v>1</v>
      </c>
      <c r="H54" s="23" t="s">
        <v>118</v>
      </c>
      <c r="I54" s="20" t="s">
        <v>119</v>
      </c>
      <c r="J54" s="20"/>
      <c r="P54" s="45" t="s">
        <v>229</v>
      </c>
      <c r="Q54" s="45">
        <v>231478</v>
      </c>
      <c r="R54" s="45">
        <v>1</v>
      </c>
      <c r="S54" s="46">
        <v>1</v>
      </c>
      <c r="T54" s="51">
        <v>46104.349305555559</v>
      </c>
      <c r="U54" s="48" t="s">
        <v>63</v>
      </c>
      <c r="V54" s="48" t="s">
        <v>188</v>
      </c>
      <c r="AP54" s="45" t="s">
        <v>229</v>
      </c>
      <c r="AQ54" s="45">
        <v>231478</v>
      </c>
      <c r="AR54" s="45">
        <v>1</v>
      </c>
      <c r="AS54" s="45">
        <v>1</v>
      </c>
      <c r="AT54" s="47">
        <v>46104.335416666669</v>
      </c>
      <c r="AU54" s="48" t="s">
        <v>63</v>
      </c>
    </row>
    <row r="55" spans="1:47" ht="13.5" customHeight="1" x14ac:dyDescent="0.2">
      <c r="A55" s="20" t="s">
        <v>117</v>
      </c>
      <c r="B55" s="20"/>
      <c r="C55" s="20"/>
      <c r="D55" s="20"/>
      <c r="E55" s="21">
        <v>231478</v>
      </c>
      <c r="F55" s="22">
        <v>2</v>
      </c>
      <c r="G55" s="22">
        <v>1</v>
      </c>
      <c r="H55" s="23" t="s">
        <v>120</v>
      </c>
      <c r="I55" s="20" t="s">
        <v>119</v>
      </c>
      <c r="J55" s="20"/>
      <c r="P55" s="45" t="s">
        <v>230</v>
      </c>
      <c r="Q55" s="45">
        <v>231478</v>
      </c>
      <c r="R55" s="45">
        <v>2</v>
      </c>
      <c r="S55" s="46">
        <v>1</v>
      </c>
      <c r="T55" s="51">
        <v>46104.326388888891</v>
      </c>
      <c r="U55" s="48" t="s">
        <v>63</v>
      </c>
      <c r="V55" s="48" t="s">
        <v>188</v>
      </c>
      <c r="AP55" s="45" t="s">
        <v>230</v>
      </c>
      <c r="AQ55" s="45">
        <v>231478</v>
      </c>
      <c r="AR55" s="45">
        <v>2</v>
      </c>
      <c r="AS55" s="45">
        <v>1</v>
      </c>
      <c r="AT55" s="47">
        <v>46104.325694444444</v>
      </c>
      <c r="AU55" s="48" t="s">
        <v>63</v>
      </c>
    </row>
    <row r="56" spans="1:47" ht="13.5" customHeight="1" x14ac:dyDescent="0.2">
      <c r="A56" s="20" t="s">
        <v>121</v>
      </c>
      <c r="B56" s="20"/>
      <c r="C56" s="20"/>
      <c r="D56" s="20"/>
      <c r="E56" s="21">
        <v>231479</v>
      </c>
      <c r="F56" s="22">
        <v>1</v>
      </c>
      <c r="G56" s="22">
        <v>1</v>
      </c>
      <c r="H56" s="23" t="s">
        <v>122</v>
      </c>
      <c r="I56" s="20" t="s">
        <v>119</v>
      </c>
      <c r="J56" s="20"/>
      <c r="P56" s="45" t="s">
        <v>231</v>
      </c>
      <c r="Q56" s="45">
        <v>231479</v>
      </c>
      <c r="R56" s="45">
        <v>1</v>
      </c>
      <c r="S56" s="46">
        <v>1</v>
      </c>
      <c r="T56" s="51">
        <v>46104.379166666666</v>
      </c>
      <c r="U56" s="48" t="s">
        <v>63</v>
      </c>
      <c r="V56" s="48" t="s">
        <v>188</v>
      </c>
      <c r="AP56" s="45" t="s">
        <v>231</v>
      </c>
      <c r="AQ56" s="45">
        <v>231479</v>
      </c>
      <c r="AR56" s="45">
        <v>1</v>
      </c>
      <c r="AS56" s="45">
        <v>1</v>
      </c>
      <c r="AT56" s="47">
        <v>46104.373611111114</v>
      </c>
      <c r="AU56" s="48" t="s">
        <v>63</v>
      </c>
    </row>
    <row r="57" spans="1:47" ht="13.5" customHeight="1" x14ac:dyDescent="0.2">
      <c r="A57" s="20" t="s">
        <v>121</v>
      </c>
      <c r="B57" s="20"/>
      <c r="C57" s="20"/>
      <c r="D57" s="20"/>
      <c r="E57" s="21">
        <v>231479</v>
      </c>
      <c r="F57" s="22">
        <v>2</v>
      </c>
      <c r="G57" s="22">
        <v>2</v>
      </c>
      <c r="H57" s="23" t="s">
        <v>123</v>
      </c>
      <c r="I57" s="20" t="s">
        <v>119</v>
      </c>
      <c r="J57" s="20"/>
      <c r="P57" s="45" t="s">
        <v>232</v>
      </c>
      <c r="Q57" s="45">
        <v>231479</v>
      </c>
      <c r="R57" s="45">
        <v>2</v>
      </c>
      <c r="S57" s="46">
        <v>2</v>
      </c>
      <c r="T57" s="51">
        <v>46104.413888888892</v>
      </c>
      <c r="U57" s="48" t="s">
        <v>63</v>
      </c>
      <c r="V57" s="48" t="s">
        <v>188</v>
      </c>
      <c r="AP57" s="45" t="s">
        <v>232</v>
      </c>
      <c r="AQ57" s="45">
        <v>231479</v>
      </c>
      <c r="AR57" s="45">
        <v>2</v>
      </c>
      <c r="AS57" s="45">
        <v>2</v>
      </c>
      <c r="AT57" s="47">
        <v>46104.413888888892</v>
      </c>
      <c r="AU57" s="48" t="s">
        <v>63</v>
      </c>
    </row>
    <row r="58" spans="1:47" ht="13.5" customHeight="1" x14ac:dyDescent="0.2">
      <c r="A58" s="20" t="s">
        <v>121</v>
      </c>
      <c r="B58" s="20"/>
      <c r="C58" s="20"/>
      <c r="D58" s="20"/>
      <c r="E58" s="21">
        <v>231479</v>
      </c>
      <c r="F58" s="22">
        <v>3</v>
      </c>
      <c r="G58" s="22">
        <v>1</v>
      </c>
      <c r="H58" s="23" t="s">
        <v>124</v>
      </c>
      <c r="I58" s="20" t="s">
        <v>119</v>
      </c>
      <c r="J58" s="20"/>
      <c r="P58" s="45" t="s">
        <v>233</v>
      </c>
      <c r="Q58" s="45">
        <v>231479</v>
      </c>
      <c r="R58" s="45">
        <v>3</v>
      </c>
      <c r="S58" s="46">
        <v>1</v>
      </c>
      <c r="T58" s="51">
        <v>46104.349305555559</v>
      </c>
      <c r="U58" s="48" t="s">
        <v>63</v>
      </c>
      <c r="V58" s="48" t="s">
        <v>188</v>
      </c>
      <c r="AP58" s="45" t="s">
        <v>233</v>
      </c>
      <c r="AQ58" s="45">
        <v>231479</v>
      </c>
      <c r="AR58" s="45">
        <v>3</v>
      </c>
      <c r="AS58" s="45">
        <v>1</v>
      </c>
      <c r="AT58" s="47">
        <v>46104.335416666669</v>
      </c>
      <c r="AU58" s="48" t="s">
        <v>63</v>
      </c>
    </row>
    <row r="59" spans="1:47" ht="13.5" customHeight="1" x14ac:dyDescent="0.2">
      <c r="A59" s="20" t="s">
        <v>125</v>
      </c>
      <c r="B59" s="20"/>
      <c r="C59" s="20"/>
      <c r="D59" s="20"/>
      <c r="E59" s="21">
        <v>231480</v>
      </c>
      <c r="F59" s="22">
        <v>1</v>
      </c>
      <c r="G59" s="22">
        <v>1</v>
      </c>
      <c r="H59" s="23" t="s">
        <v>23</v>
      </c>
      <c r="I59" s="20" t="s">
        <v>119</v>
      </c>
      <c r="J59" s="20"/>
      <c r="P59" s="45" t="s">
        <v>234</v>
      </c>
      <c r="Q59" s="45">
        <v>231480</v>
      </c>
      <c r="R59" s="45">
        <v>1</v>
      </c>
      <c r="S59" s="46">
        <v>1</v>
      </c>
      <c r="T59" s="51">
        <v>46104.347222222219</v>
      </c>
      <c r="U59" s="48" t="s">
        <v>63</v>
      </c>
      <c r="V59" s="48" t="s">
        <v>188</v>
      </c>
      <c r="AP59" s="45" t="s">
        <v>234</v>
      </c>
      <c r="AQ59" s="45">
        <v>231480</v>
      </c>
      <c r="AR59" s="45">
        <v>1</v>
      </c>
      <c r="AS59" s="45">
        <v>1</v>
      </c>
      <c r="AT59" s="47">
        <v>46104.334722222222</v>
      </c>
      <c r="AU59" s="48" t="s">
        <v>63</v>
      </c>
    </row>
    <row r="60" spans="1:47" ht="13.5" customHeight="1" x14ac:dyDescent="0.2">
      <c r="A60" s="20" t="s">
        <v>126</v>
      </c>
      <c r="B60" s="20"/>
      <c r="C60" s="20"/>
      <c r="D60" s="20"/>
      <c r="E60" s="21">
        <v>231481</v>
      </c>
      <c r="F60" s="22">
        <v>1</v>
      </c>
      <c r="G60" s="22">
        <v>1</v>
      </c>
      <c r="H60" s="23" t="s">
        <v>47</v>
      </c>
      <c r="I60" s="20" t="s">
        <v>26</v>
      </c>
      <c r="J60" s="20"/>
      <c r="P60" s="45" t="s">
        <v>235</v>
      </c>
      <c r="Q60" s="45">
        <v>231481</v>
      </c>
      <c r="R60" s="45">
        <v>1</v>
      </c>
      <c r="S60" s="46">
        <v>1</v>
      </c>
      <c r="T60" s="51">
        <v>46104.412499999999</v>
      </c>
      <c r="U60" s="48" t="s">
        <v>63</v>
      </c>
      <c r="V60" s="48" t="s">
        <v>188</v>
      </c>
      <c r="AP60" s="45" t="s">
        <v>235</v>
      </c>
      <c r="AQ60" s="45">
        <v>231481</v>
      </c>
      <c r="AR60" s="45">
        <v>1</v>
      </c>
      <c r="AS60" s="45">
        <v>1</v>
      </c>
      <c r="AT60" s="47">
        <v>46104.411805555559</v>
      </c>
      <c r="AU60" s="48" t="s">
        <v>63</v>
      </c>
    </row>
    <row r="61" spans="1:47" ht="13.5" customHeight="1" x14ac:dyDescent="0.2">
      <c r="A61" s="20" t="s">
        <v>127</v>
      </c>
      <c r="B61" s="20"/>
      <c r="C61" s="20"/>
      <c r="D61" s="20"/>
      <c r="E61" s="21">
        <v>231482</v>
      </c>
      <c r="F61" s="22">
        <v>1</v>
      </c>
      <c r="G61" s="22">
        <v>1</v>
      </c>
      <c r="H61" s="23" t="s">
        <v>53</v>
      </c>
      <c r="I61" s="20" t="s">
        <v>26</v>
      </c>
      <c r="J61" s="20"/>
      <c r="P61" s="45" t="s">
        <v>236</v>
      </c>
      <c r="Q61" s="45">
        <v>231482</v>
      </c>
      <c r="R61" s="45">
        <v>1</v>
      </c>
      <c r="S61" s="46">
        <v>1</v>
      </c>
      <c r="T61" s="51">
        <v>46104.411805555559</v>
      </c>
      <c r="U61" s="48" t="s">
        <v>63</v>
      </c>
      <c r="V61" s="48" t="s">
        <v>188</v>
      </c>
      <c r="AP61" s="45" t="s">
        <v>236</v>
      </c>
      <c r="AQ61" s="45">
        <v>231482</v>
      </c>
      <c r="AR61" s="45">
        <v>1</v>
      </c>
      <c r="AS61" s="45">
        <v>1</v>
      </c>
      <c r="AT61" s="47">
        <v>46104.411805555559</v>
      </c>
      <c r="AU61" s="48" t="s">
        <v>63</v>
      </c>
    </row>
    <row r="62" spans="1:47" ht="13.5" customHeight="1" x14ac:dyDescent="0.2">
      <c r="A62" s="20" t="s">
        <v>128</v>
      </c>
      <c r="B62" s="20"/>
      <c r="C62" s="20"/>
      <c r="D62" s="20"/>
      <c r="E62" s="21">
        <v>231483</v>
      </c>
      <c r="F62" s="22">
        <v>1</v>
      </c>
      <c r="G62" s="22">
        <v>1</v>
      </c>
      <c r="H62" s="23" t="s">
        <v>53</v>
      </c>
      <c r="I62" s="20" t="s">
        <v>26</v>
      </c>
      <c r="J62" s="20"/>
      <c r="P62" s="45" t="s">
        <v>237</v>
      </c>
      <c r="Q62" s="45">
        <v>231483</v>
      </c>
      <c r="R62" s="45">
        <v>1</v>
      </c>
      <c r="S62" s="46">
        <v>1</v>
      </c>
      <c r="T62" s="51">
        <v>46104.411805555559</v>
      </c>
      <c r="U62" s="48" t="s">
        <v>63</v>
      </c>
      <c r="V62" s="48" t="s">
        <v>188</v>
      </c>
      <c r="AP62" s="45" t="s">
        <v>237</v>
      </c>
      <c r="AQ62" s="45">
        <v>231483</v>
      </c>
      <c r="AR62" s="45">
        <v>1</v>
      </c>
      <c r="AS62" s="45">
        <v>1</v>
      </c>
      <c r="AT62" s="47">
        <v>46104.411111111112</v>
      </c>
      <c r="AU62" s="48" t="s">
        <v>63</v>
      </c>
    </row>
    <row r="63" spans="1:47" ht="13.5" customHeight="1" x14ac:dyDescent="0.2">
      <c r="A63" s="20" t="s">
        <v>129</v>
      </c>
      <c r="B63" s="20"/>
      <c r="C63" s="20"/>
      <c r="D63" s="20"/>
      <c r="E63" s="21">
        <v>231484</v>
      </c>
      <c r="F63" s="22">
        <v>1</v>
      </c>
      <c r="G63" s="22">
        <v>1</v>
      </c>
      <c r="H63" s="23" t="s">
        <v>130</v>
      </c>
      <c r="I63" s="20" t="s">
        <v>26</v>
      </c>
      <c r="J63" s="20"/>
      <c r="P63" s="45" t="s">
        <v>238</v>
      </c>
      <c r="Q63" s="45">
        <v>231484</v>
      </c>
      <c r="R63" s="45">
        <v>1</v>
      </c>
      <c r="S63" s="46">
        <v>1</v>
      </c>
      <c r="T63" s="51">
        <v>46104.411111111112</v>
      </c>
      <c r="U63" s="48" t="s">
        <v>63</v>
      </c>
      <c r="V63" s="48" t="s">
        <v>188</v>
      </c>
      <c r="AP63" s="45" t="s">
        <v>238</v>
      </c>
      <c r="AQ63" s="45">
        <v>231484</v>
      </c>
      <c r="AR63" s="45">
        <v>1</v>
      </c>
      <c r="AS63" s="45">
        <v>1</v>
      </c>
      <c r="AT63" s="47">
        <v>46104.411111111112</v>
      </c>
      <c r="AU63" s="48" t="s">
        <v>63</v>
      </c>
    </row>
    <row r="64" spans="1:47" ht="13.5" customHeight="1" x14ac:dyDescent="0.2">
      <c r="A64" s="20" t="s">
        <v>131</v>
      </c>
      <c r="B64" s="20"/>
      <c r="C64" s="20"/>
      <c r="D64" s="20"/>
      <c r="E64" s="21">
        <v>231485</v>
      </c>
      <c r="F64" s="22">
        <v>1</v>
      </c>
      <c r="G64" s="22">
        <v>1</v>
      </c>
      <c r="H64" s="23" t="s">
        <v>132</v>
      </c>
      <c r="I64" s="20" t="s">
        <v>133</v>
      </c>
      <c r="J64" s="20"/>
      <c r="P64" s="45"/>
      <c r="Q64" s="45"/>
      <c r="R64" s="45"/>
      <c r="S64" s="45"/>
      <c r="T64" s="51"/>
      <c r="U64" s="45"/>
      <c r="V64" s="45"/>
      <c r="AP64" s="45"/>
      <c r="AQ64" s="45"/>
      <c r="AR64" s="45"/>
      <c r="AS64" s="45"/>
      <c r="AT64" s="45"/>
      <c r="AU64" s="45"/>
    </row>
    <row r="65" spans="1:47" ht="13.5" customHeight="1" x14ac:dyDescent="0.2">
      <c r="A65" s="20" t="s">
        <v>131</v>
      </c>
      <c r="B65" s="20"/>
      <c r="C65" s="20"/>
      <c r="D65" s="20"/>
      <c r="E65" s="21">
        <v>231485</v>
      </c>
      <c r="F65" s="22">
        <v>2</v>
      </c>
      <c r="G65" s="22">
        <v>1</v>
      </c>
      <c r="H65" s="23" t="s">
        <v>134</v>
      </c>
      <c r="I65" s="20" t="s">
        <v>133</v>
      </c>
      <c r="J65" s="20"/>
      <c r="P65" s="45"/>
      <c r="Q65" s="45"/>
      <c r="R65" s="45"/>
      <c r="S65" s="45"/>
      <c r="T65" s="51"/>
      <c r="U65" s="45"/>
      <c r="V65" s="45"/>
      <c r="AP65" s="45"/>
      <c r="AQ65" s="45"/>
      <c r="AR65" s="45"/>
      <c r="AS65" s="45"/>
      <c r="AT65" s="45"/>
      <c r="AU65" s="45"/>
    </row>
    <row r="66" spans="1:47" ht="13.5" customHeight="1" x14ac:dyDescent="0.2">
      <c r="A66" s="20" t="s">
        <v>135</v>
      </c>
      <c r="B66" s="20"/>
      <c r="C66" s="20"/>
      <c r="D66" s="20"/>
      <c r="E66" s="21">
        <v>231486</v>
      </c>
      <c r="F66" s="22">
        <v>1</v>
      </c>
      <c r="G66" s="22">
        <v>1</v>
      </c>
      <c r="H66" s="23" t="s">
        <v>136</v>
      </c>
      <c r="I66" s="20" t="s">
        <v>137</v>
      </c>
      <c r="J66" s="20"/>
      <c r="P66" s="45" t="s">
        <v>239</v>
      </c>
      <c r="Q66" s="45">
        <v>231486</v>
      </c>
      <c r="R66" s="45">
        <v>1</v>
      </c>
      <c r="S66" s="46">
        <v>1</v>
      </c>
      <c r="T66" s="51">
        <v>46104.385416666664</v>
      </c>
      <c r="U66" s="48" t="s">
        <v>63</v>
      </c>
      <c r="V66" s="48" t="s">
        <v>188</v>
      </c>
      <c r="AP66" s="45" t="s">
        <v>239</v>
      </c>
      <c r="AQ66" s="45">
        <v>231486</v>
      </c>
      <c r="AR66" s="45">
        <v>1</v>
      </c>
      <c r="AS66" s="45">
        <v>1</v>
      </c>
      <c r="AT66" s="47">
        <v>46104.375</v>
      </c>
      <c r="AU66" s="48" t="s">
        <v>63</v>
      </c>
    </row>
    <row r="67" spans="1:47" ht="13.5" customHeight="1" x14ac:dyDescent="0.2">
      <c r="A67" s="20" t="s">
        <v>138</v>
      </c>
      <c r="B67" s="20"/>
      <c r="C67" s="20"/>
      <c r="D67" s="20"/>
      <c r="E67" s="21">
        <v>231487</v>
      </c>
      <c r="F67" s="22">
        <v>1</v>
      </c>
      <c r="G67" s="22">
        <v>1</v>
      </c>
      <c r="H67" s="23" t="s">
        <v>49</v>
      </c>
      <c r="I67" s="20" t="s">
        <v>42</v>
      </c>
      <c r="J67" s="20"/>
      <c r="P67" s="45" t="s">
        <v>240</v>
      </c>
      <c r="Q67" s="45">
        <v>231487</v>
      </c>
      <c r="R67" s="45">
        <v>1</v>
      </c>
      <c r="S67" s="46">
        <v>1</v>
      </c>
      <c r="T67" s="51">
        <v>46104.412499999999</v>
      </c>
      <c r="U67" s="48" t="s">
        <v>63</v>
      </c>
      <c r="V67" s="48" t="s">
        <v>188</v>
      </c>
      <c r="AP67" s="45" t="s">
        <v>240</v>
      </c>
      <c r="AQ67" s="45">
        <v>231487</v>
      </c>
      <c r="AR67" s="45">
        <v>1</v>
      </c>
      <c r="AS67" s="45">
        <v>1</v>
      </c>
      <c r="AT67" s="47">
        <v>46104.412499999999</v>
      </c>
      <c r="AU67" s="48" t="s">
        <v>63</v>
      </c>
    </row>
    <row r="68" spans="1:47" ht="13.5" customHeight="1" x14ac:dyDescent="0.2">
      <c r="A68" s="19" t="s">
        <v>55</v>
      </c>
      <c r="P68" s="45"/>
      <c r="Q68" s="45"/>
      <c r="R68" s="45"/>
      <c r="S68" s="45"/>
      <c r="T68" s="51"/>
      <c r="U68" s="45"/>
      <c r="V68" s="45"/>
      <c r="AP68" s="45"/>
      <c r="AQ68" s="45"/>
      <c r="AR68" s="45"/>
      <c r="AS68" s="45"/>
      <c r="AT68" s="45"/>
      <c r="AU68" s="45"/>
    </row>
    <row r="69" spans="1:47" ht="13.5" customHeight="1" x14ac:dyDescent="0.2">
      <c r="A69" s="20" t="s">
        <v>139</v>
      </c>
      <c r="B69" s="20"/>
      <c r="C69" s="20"/>
      <c r="D69" s="20"/>
      <c r="E69" s="21">
        <v>231426</v>
      </c>
      <c r="F69" s="22">
        <v>1</v>
      </c>
      <c r="G69" s="22">
        <v>4</v>
      </c>
      <c r="H69" s="23" t="s">
        <v>140</v>
      </c>
      <c r="I69" s="20" t="s">
        <v>141</v>
      </c>
      <c r="J69" s="20"/>
      <c r="P69" s="45"/>
      <c r="Q69" s="45"/>
      <c r="R69" s="45"/>
      <c r="S69" s="45"/>
      <c r="T69" s="51"/>
      <c r="U69" s="45"/>
      <c r="V69" s="45"/>
      <c r="AP69" s="45"/>
      <c r="AQ69" s="45"/>
      <c r="AR69" s="45"/>
      <c r="AS69" s="45"/>
      <c r="AT69" s="45"/>
      <c r="AU69" s="45"/>
    </row>
    <row r="70" spans="1:47" ht="13.5" customHeight="1" x14ac:dyDescent="0.2">
      <c r="A70" s="19" t="s">
        <v>8</v>
      </c>
      <c r="P70" s="45"/>
      <c r="Q70" s="45"/>
      <c r="R70" s="45"/>
      <c r="S70" s="45"/>
      <c r="T70" s="51"/>
      <c r="U70" s="45"/>
      <c r="V70" s="45"/>
      <c r="AP70" s="45"/>
      <c r="AQ70" s="45"/>
      <c r="AR70" s="45"/>
      <c r="AS70" s="45"/>
      <c r="AT70" s="45"/>
      <c r="AU70" s="45"/>
    </row>
    <row r="71" spans="1:47" ht="13.5" customHeight="1" x14ac:dyDescent="0.2">
      <c r="A71" s="20" t="s">
        <v>142</v>
      </c>
      <c r="B71" s="20"/>
      <c r="C71" s="20"/>
      <c r="D71" s="20"/>
      <c r="E71" s="21">
        <v>231297</v>
      </c>
      <c r="F71" s="22">
        <v>1</v>
      </c>
      <c r="G71" s="22">
        <v>1</v>
      </c>
      <c r="H71" s="23" t="s">
        <v>143</v>
      </c>
      <c r="I71" s="20" t="s">
        <v>27</v>
      </c>
      <c r="J71" s="20"/>
      <c r="P71" s="45" t="s">
        <v>241</v>
      </c>
      <c r="Q71" s="45">
        <v>231297</v>
      </c>
      <c r="R71" s="45">
        <v>1</v>
      </c>
      <c r="S71" s="46">
        <v>1</v>
      </c>
      <c r="T71" s="51">
        <v>46104.276388888888</v>
      </c>
      <c r="U71" s="48" t="s">
        <v>63</v>
      </c>
      <c r="V71" s="48" t="s">
        <v>188</v>
      </c>
      <c r="AP71" s="45" t="s">
        <v>241</v>
      </c>
      <c r="AQ71" s="45">
        <v>231297</v>
      </c>
      <c r="AR71" s="45">
        <v>1</v>
      </c>
      <c r="AS71" s="45">
        <v>1</v>
      </c>
      <c r="AT71" s="47">
        <v>46101.335416666669</v>
      </c>
      <c r="AU71" s="48" t="s">
        <v>63</v>
      </c>
    </row>
    <row r="72" spans="1:47" ht="13.5" customHeight="1" x14ac:dyDescent="0.2">
      <c r="A72" s="20" t="s">
        <v>142</v>
      </c>
      <c r="B72" s="20"/>
      <c r="C72" s="20"/>
      <c r="D72" s="20"/>
      <c r="E72" s="21">
        <v>231297</v>
      </c>
      <c r="F72" s="22">
        <v>2</v>
      </c>
      <c r="G72" s="22">
        <v>1</v>
      </c>
      <c r="H72" s="23" t="s">
        <v>144</v>
      </c>
      <c r="I72" s="20" t="s">
        <v>27</v>
      </c>
      <c r="J72" s="20"/>
      <c r="P72" s="45" t="s">
        <v>242</v>
      </c>
      <c r="Q72" s="45">
        <v>231297</v>
      </c>
      <c r="R72" s="45">
        <v>2</v>
      </c>
      <c r="S72" s="46">
        <v>1</v>
      </c>
      <c r="T72" s="51">
        <v>46104.268055555556</v>
      </c>
      <c r="U72" s="48" t="s">
        <v>63</v>
      </c>
      <c r="V72" s="48" t="s">
        <v>188</v>
      </c>
      <c r="AP72" s="45" t="s">
        <v>242</v>
      </c>
      <c r="AQ72" s="45">
        <v>231297</v>
      </c>
      <c r="AR72" s="45">
        <v>2</v>
      </c>
      <c r="AS72" s="45">
        <v>1</v>
      </c>
      <c r="AT72" s="47">
        <v>46101.338888888888</v>
      </c>
      <c r="AU72" s="48" t="s">
        <v>63</v>
      </c>
    </row>
    <row r="73" spans="1:47" ht="13.5" customHeight="1" x14ac:dyDescent="0.2">
      <c r="A73" s="20" t="s">
        <v>145</v>
      </c>
      <c r="B73" s="20"/>
      <c r="C73" s="20"/>
      <c r="D73" s="20"/>
      <c r="E73" s="21">
        <v>231298</v>
      </c>
      <c r="F73" s="22">
        <v>1</v>
      </c>
      <c r="G73" s="22">
        <v>1</v>
      </c>
      <c r="H73" s="23" t="s">
        <v>146</v>
      </c>
      <c r="I73" s="20" t="s">
        <v>77</v>
      </c>
      <c r="J73" s="20"/>
      <c r="P73" s="45" t="s">
        <v>243</v>
      </c>
      <c r="Q73" s="45">
        <v>231298</v>
      </c>
      <c r="R73" s="45">
        <v>1</v>
      </c>
      <c r="S73" s="46">
        <v>1</v>
      </c>
      <c r="T73" s="51">
        <v>46104.453472222223</v>
      </c>
      <c r="U73" s="48" t="s">
        <v>63</v>
      </c>
      <c r="V73" s="48" t="s">
        <v>188</v>
      </c>
      <c r="AP73" s="45" t="s">
        <v>243</v>
      </c>
      <c r="AQ73" s="45">
        <v>231298</v>
      </c>
      <c r="AR73" s="45">
        <v>1</v>
      </c>
      <c r="AS73" s="45">
        <v>1</v>
      </c>
      <c r="AT73" s="47">
        <v>46104.453472222223</v>
      </c>
      <c r="AU73" s="48" t="s">
        <v>63</v>
      </c>
    </row>
    <row r="74" spans="1:47" ht="13.5" customHeight="1" x14ac:dyDescent="0.2">
      <c r="A74" s="20" t="s">
        <v>145</v>
      </c>
      <c r="B74" s="20"/>
      <c r="C74" s="20"/>
      <c r="D74" s="20"/>
      <c r="E74" s="21">
        <v>231298</v>
      </c>
      <c r="F74" s="22">
        <v>2</v>
      </c>
      <c r="G74" s="22">
        <v>1</v>
      </c>
      <c r="H74" s="23" t="s">
        <v>147</v>
      </c>
      <c r="I74" s="20" t="s">
        <v>77</v>
      </c>
      <c r="J74" s="20"/>
      <c r="P74" s="45" t="s">
        <v>244</v>
      </c>
      <c r="Q74" s="45">
        <v>231298</v>
      </c>
      <c r="R74" s="45">
        <v>2</v>
      </c>
      <c r="S74" s="45">
        <v>1</v>
      </c>
      <c r="T74" s="51">
        <v>46104.272916666669</v>
      </c>
      <c r="U74" s="50" t="s">
        <v>63</v>
      </c>
      <c r="V74" s="50" t="s">
        <v>188</v>
      </c>
      <c r="AP74" s="45" t="s">
        <v>244</v>
      </c>
      <c r="AQ74" s="45">
        <v>231298</v>
      </c>
      <c r="AR74" s="45">
        <v>2</v>
      </c>
      <c r="AS74" s="45">
        <v>1</v>
      </c>
      <c r="AT74" s="47">
        <v>46101.335416666669</v>
      </c>
      <c r="AU74" s="48" t="s">
        <v>63</v>
      </c>
    </row>
    <row r="75" spans="1:47" ht="13.5" customHeight="1" x14ac:dyDescent="0.2">
      <c r="A75" s="20" t="s">
        <v>148</v>
      </c>
      <c r="B75" s="20"/>
      <c r="C75" s="20"/>
      <c r="D75" s="20"/>
      <c r="E75" s="21">
        <v>231299</v>
      </c>
      <c r="F75" s="22">
        <v>1</v>
      </c>
      <c r="G75" s="22">
        <v>1</v>
      </c>
      <c r="H75" s="23" t="s">
        <v>149</v>
      </c>
      <c r="I75" s="20" t="s">
        <v>150</v>
      </c>
      <c r="J75" s="20"/>
      <c r="P75" s="45" t="s">
        <v>245</v>
      </c>
      <c r="Q75" s="45">
        <v>231299</v>
      </c>
      <c r="R75" s="45">
        <v>1</v>
      </c>
      <c r="S75" s="45">
        <v>1</v>
      </c>
      <c r="T75" s="51">
        <v>46104.274305555555</v>
      </c>
      <c r="U75" s="50" t="s">
        <v>63</v>
      </c>
      <c r="V75" s="50" t="s">
        <v>188</v>
      </c>
      <c r="AP75" s="45" t="s">
        <v>245</v>
      </c>
      <c r="AQ75" s="45">
        <v>231299</v>
      </c>
      <c r="AR75" s="45">
        <v>1</v>
      </c>
      <c r="AS75" s="45">
        <v>1</v>
      </c>
      <c r="AT75" s="47">
        <v>46101.334722222222</v>
      </c>
      <c r="AU75" s="48" t="s">
        <v>63</v>
      </c>
    </row>
    <row r="76" spans="1:47" ht="13.5" customHeight="1" x14ac:dyDescent="0.2">
      <c r="A76" s="20" t="s">
        <v>151</v>
      </c>
      <c r="B76" s="20"/>
      <c r="C76" s="20"/>
      <c r="D76" s="20"/>
      <c r="E76" s="21">
        <v>231300</v>
      </c>
      <c r="F76" s="22">
        <v>1</v>
      </c>
      <c r="G76" s="22">
        <v>1</v>
      </c>
      <c r="H76" s="23" t="s">
        <v>152</v>
      </c>
      <c r="I76" s="20" t="s">
        <v>153</v>
      </c>
      <c r="J76" s="20"/>
      <c r="P76" s="45" t="s">
        <v>244</v>
      </c>
      <c r="Q76" s="45">
        <v>231300</v>
      </c>
      <c r="R76" s="45">
        <v>1</v>
      </c>
      <c r="S76" s="46">
        <v>1</v>
      </c>
      <c r="T76" s="51">
        <v>46104.271527777775</v>
      </c>
      <c r="U76" s="48" t="s">
        <v>63</v>
      </c>
      <c r="V76" s="48" t="s">
        <v>188</v>
      </c>
      <c r="AP76" s="45" t="s">
        <v>266</v>
      </c>
      <c r="AQ76" s="45">
        <v>231300</v>
      </c>
      <c r="AR76" s="45">
        <v>1</v>
      </c>
      <c r="AS76" s="45">
        <v>1</v>
      </c>
      <c r="AT76" s="47">
        <v>46101.338194444441</v>
      </c>
      <c r="AU76" s="48" t="s">
        <v>63</v>
      </c>
    </row>
    <row r="77" spans="1:47" ht="13.5" customHeight="1" x14ac:dyDescent="0.2">
      <c r="A77" s="20" t="s">
        <v>151</v>
      </c>
      <c r="B77" s="20"/>
      <c r="C77" s="20"/>
      <c r="D77" s="20"/>
      <c r="E77" s="21">
        <v>231300</v>
      </c>
      <c r="F77" s="22">
        <v>2</v>
      </c>
      <c r="G77" s="22">
        <v>1</v>
      </c>
      <c r="H77" s="23" t="s">
        <v>154</v>
      </c>
      <c r="I77" s="20" t="s">
        <v>153</v>
      </c>
      <c r="J77" s="20"/>
      <c r="P77" s="45" t="s">
        <v>246</v>
      </c>
      <c r="Q77" s="45">
        <v>231300</v>
      </c>
      <c r="R77" s="45">
        <v>2</v>
      </c>
      <c r="S77" s="46">
        <v>1</v>
      </c>
      <c r="T77" s="51">
        <v>46104.45416666667</v>
      </c>
      <c r="U77" s="48" t="s">
        <v>63</v>
      </c>
      <c r="V77" s="48" t="s">
        <v>188</v>
      </c>
      <c r="AP77" s="45" t="s">
        <v>246</v>
      </c>
      <c r="AQ77" s="45">
        <v>231300</v>
      </c>
      <c r="AR77" s="45">
        <v>2</v>
      </c>
      <c r="AS77" s="45">
        <v>1</v>
      </c>
      <c r="AT77" s="47">
        <v>46101.549305555556</v>
      </c>
      <c r="AU77" s="48" t="s">
        <v>63</v>
      </c>
    </row>
    <row r="78" spans="1:47" ht="13.5" customHeight="1" x14ac:dyDescent="0.2">
      <c r="A78" s="20" t="s">
        <v>155</v>
      </c>
      <c r="B78" s="20"/>
      <c r="C78" s="20"/>
      <c r="D78" s="20"/>
      <c r="E78" s="21">
        <v>231301</v>
      </c>
      <c r="F78" s="22">
        <v>1</v>
      </c>
      <c r="G78" s="22">
        <v>1</v>
      </c>
      <c r="H78" s="23" t="s">
        <v>156</v>
      </c>
      <c r="I78" s="20" t="s">
        <v>153</v>
      </c>
      <c r="J78" s="20"/>
      <c r="P78" s="45" t="s">
        <v>247</v>
      </c>
      <c r="Q78" s="45">
        <v>231301</v>
      </c>
      <c r="R78" s="45">
        <v>1</v>
      </c>
      <c r="S78" s="46">
        <v>1</v>
      </c>
      <c r="T78" s="51">
        <v>46104.273611111108</v>
      </c>
      <c r="U78" s="48" t="s">
        <v>63</v>
      </c>
      <c r="V78" s="48" t="s">
        <v>188</v>
      </c>
      <c r="AP78" s="45" t="s">
        <v>247</v>
      </c>
      <c r="AQ78" s="45">
        <v>231301</v>
      </c>
      <c r="AR78" s="45">
        <v>1</v>
      </c>
      <c r="AS78" s="45">
        <v>1</v>
      </c>
      <c r="AT78" s="47">
        <v>46101.336805555555</v>
      </c>
      <c r="AU78" s="48" t="s">
        <v>63</v>
      </c>
    </row>
    <row r="79" spans="1:47" ht="13.5" customHeight="1" x14ac:dyDescent="0.2">
      <c r="A79" s="20" t="s">
        <v>155</v>
      </c>
      <c r="B79" s="20"/>
      <c r="C79" s="20"/>
      <c r="D79" s="20"/>
      <c r="E79" s="21">
        <v>231301</v>
      </c>
      <c r="F79" s="22">
        <v>2</v>
      </c>
      <c r="G79" s="22">
        <v>1</v>
      </c>
      <c r="H79" s="23" t="s">
        <v>157</v>
      </c>
      <c r="I79" s="20" t="s">
        <v>153</v>
      </c>
      <c r="J79" s="20"/>
      <c r="P79" s="45" t="s">
        <v>248</v>
      </c>
      <c r="Q79" s="45">
        <v>231301</v>
      </c>
      <c r="R79" s="45">
        <v>2</v>
      </c>
      <c r="S79" s="46">
        <v>1</v>
      </c>
      <c r="T79" s="51">
        <v>46104.271527777775</v>
      </c>
      <c r="U79" s="48" t="s">
        <v>63</v>
      </c>
      <c r="V79" s="48" t="s">
        <v>188</v>
      </c>
      <c r="AP79" s="45" t="s">
        <v>248</v>
      </c>
      <c r="AQ79" s="45">
        <v>231301</v>
      </c>
      <c r="AR79" s="45">
        <v>2</v>
      </c>
      <c r="AS79" s="45">
        <v>1</v>
      </c>
      <c r="AT79" s="47">
        <v>46101.338194444441</v>
      </c>
      <c r="AU79" s="48" t="s">
        <v>63</v>
      </c>
    </row>
    <row r="80" spans="1:47" ht="13.5" customHeight="1" x14ac:dyDescent="0.2">
      <c r="A80" s="20" t="s">
        <v>158</v>
      </c>
      <c r="B80" s="20"/>
      <c r="C80" s="20"/>
      <c r="D80" s="20"/>
      <c r="E80" s="21">
        <v>231302</v>
      </c>
      <c r="F80" s="22">
        <v>1</v>
      </c>
      <c r="G80" s="22">
        <v>1</v>
      </c>
      <c r="H80" s="23" t="s">
        <v>159</v>
      </c>
      <c r="I80" s="20" t="s">
        <v>153</v>
      </c>
      <c r="J80" s="20"/>
      <c r="P80" s="45" t="s">
        <v>249</v>
      </c>
      <c r="Q80" s="45">
        <v>231302</v>
      </c>
      <c r="R80" s="45">
        <v>1</v>
      </c>
      <c r="S80" s="46">
        <v>1</v>
      </c>
      <c r="T80" s="51">
        <v>46104.272222222222</v>
      </c>
      <c r="U80" s="48" t="s">
        <v>63</v>
      </c>
      <c r="V80" s="48" t="s">
        <v>188</v>
      </c>
      <c r="AP80" s="45" t="s">
        <v>249</v>
      </c>
      <c r="AQ80" s="45">
        <v>231302</v>
      </c>
      <c r="AR80" s="45">
        <v>1</v>
      </c>
      <c r="AS80" s="45">
        <v>1</v>
      </c>
      <c r="AT80" s="47">
        <v>46101.337500000001</v>
      </c>
      <c r="AU80" s="48" t="s">
        <v>63</v>
      </c>
    </row>
    <row r="81" spans="1:47" ht="13.5" customHeight="1" x14ac:dyDescent="0.2">
      <c r="A81" s="20" t="s">
        <v>158</v>
      </c>
      <c r="B81" s="20"/>
      <c r="C81" s="20"/>
      <c r="D81" s="20"/>
      <c r="E81" s="21">
        <v>231302</v>
      </c>
      <c r="F81" s="22">
        <v>2</v>
      </c>
      <c r="G81" s="22">
        <v>1</v>
      </c>
      <c r="H81" s="23" t="s">
        <v>144</v>
      </c>
      <c r="I81" s="20" t="s">
        <v>153</v>
      </c>
      <c r="J81" s="20"/>
      <c r="P81" s="45" t="s">
        <v>250</v>
      </c>
      <c r="Q81" s="45">
        <v>231302</v>
      </c>
      <c r="R81" s="45">
        <v>2</v>
      </c>
      <c r="S81" s="46">
        <v>1</v>
      </c>
      <c r="T81" s="51">
        <v>46104.268750000003</v>
      </c>
      <c r="U81" s="48" t="s">
        <v>63</v>
      </c>
      <c r="V81" s="48" t="s">
        <v>188</v>
      </c>
      <c r="AP81" s="45" t="s">
        <v>250</v>
      </c>
      <c r="AQ81" s="45">
        <v>231302</v>
      </c>
      <c r="AR81" s="45">
        <v>2</v>
      </c>
      <c r="AS81" s="45">
        <v>1</v>
      </c>
      <c r="AT81" s="47">
        <v>46101.338194444441</v>
      </c>
      <c r="AU81" s="48" t="s">
        <v>63</v>
      </c>
    </row>
    <row r="82" spans="1:47" ht="13.5" customHeight="1" x14ac:dyDescent="0.2">
      <c r="A82" s="20" t="s">
        <v>160</v>
      </c>
      <c r="B82" s="20"/>
      <c r="C82" s="20"/>
      <c r="D82" s="20"/>
      <c r="E82" s="21">
        <v>231303</v>
      </c>
      <c r="F82" s="22">
        <v>1</v>
      </c>
      <c r="G82" s="22">
        <v>1</v>
      </c>
      <c r="H82" s="23" t="s">
        <v>161</v>
      </c>
      <c r="I82" s="20" t="s">
        <v>83</v>
      </c>
      <c r="J82" s="20"/>
      <c r="P82" s="45" t="s">
        <v>251</v>
      </c>
      <c r="Q82" s="45">
        <v>231303</v>
      </c>
      <c r="R82" s="45">
        <v>1</v>
      </c>
      <c r="S82" s="46">
        <v>1</v>
      </c>
      <c r="T82" s="51">
        <v>46104.263888888891</v>
      </c>
      <c r="U82" s="48" t="s">
        <v>63</v>
      </c>
      <c r="V82" s="48" t="s">
        <v>188</v>
      </c>
      <c r="AP82" s="45" t="s">
        <v>251</v>
      </c>
      <c r="AQ82" s="45">
        <v>231303</v>
      </c>
      <c r="AR82" s="45">
        <v>1</v>
      </c>
      <c r="AS82" s="45">
        <v>1</v>
      </c>
      <c r="AT82" s="47">
        <v>46101.333333333336</v>
      </c>
      <c r="AU82" s="48" t="s">
        <v>63</v>
      </c>
    </row>
    <row r="83" spans="1:47" ht="13.5" customHeight="1" x14ac:dyDescent="0.2">
      <c r="A83" s="20" t="s">
        <v>160</v>
      </c>
      <c r="B83" s="20"/>
      <c r="C83" s="20"/>
      <c r="D83" s="20"/>
      <c r="E83" s="21">
        <v>231303</v>
      </c>
      <c r="F83" s="22">
        <v>2</v>
      </c>
      <c r="G83" s="22">
        <v>1</v>
      </c>
      <c r="H83" s="23" t="s">
        <v>162</v>
      </c>
      <c r="I83" s="20" t="s">
        <v>83</v>
      </c>
      <c r="J83" s="20"/>
      <c r="P83" s="45" t="s">
        <v>252</v>
      </c>
      <c r="Q83" s="45">
        <v>231303</v>
      </c>
      <c r="R83" s="45">
        <v>2</v>
      </c>
      <c r="S83" s="46">
        <v>1</v>
      </c>
      <c r="T83" s="51">
        <v>46104.275000000001</v>
      </c>
      <c r="U83" s="48" t="s">
        <v>63</v>
      </c>
      <c r="V83" s="48" t="s">
        <v>188</v>
      </c>
      <c r="AP83" s="45" t="s">
        <v>252</v>
      </c>
      <c r="AQ83" s="45">
        <v>231303</v>
      </c>
      <c r="AR83" s="45">
        <v>2</v>
      </c>
      <c r="AS83" s="45">
        <v>1</v>
      </c>
      <c r="AT83" s="47">
        <v>46101.336111111108</v>
      </c>
      <c r="AU83" s="48" t="s">
        <v>63</v>
      </c>
    </row>
    <row r="84" spans="1:47" ht="13.5" customHeight="1" x14ac:dyDescent="0.2">
      <c r="A84" s="20" t="s">
        <v>160</v>
      </c>
      <c r="B84" s="20"/>
      <c r="C84" s="20"/>
      <c r="D84" s="20"/>
      <c r="E84" s="21">
        <v>231303</v>
      </c>
      <c r="F84" s="22">
        <v>3</v>
      </c>
      <c r="G84" s="22">
        <v>1</v>
      </c>
      <c r="H84" s="23" t="s">
        <v>163</v>
      </c>
      <c r="I84" s="20" t="s">
        <v>83</v>
      </c>
      <c r="J84" s="20"/>
      <c r="P84" s="45" t="s">
        <v>253</v>
      </c>
      <c r="Q84" s="45">
        <v>231303</v>
      </c>
      <c r="R84" s="45">
        <v>3</v>
      </c>
      <c r="S84" s="46">
        <v>1</v>
      </c>
      <c r="T84" s="51">
        <v>46104.273611111108</v>
      </c>
      <c r="U84" s="48" t="s">
        <v>63</v>
      </c>
      <c r="V84" s="48" t="s">
        <v>188</v>
      </c>
      <c r="AP84" s="45" t="s">
        <v>253</v>
      </c>
      <c r="AQ84" s="45">
        <v>231303</v>
      </c>
      <c r="AR84" s="45">
        <v>3</v>
      </c>
      <c r="AS84" s="45">
        <v>1</v>
      </c>
      <c r="AT84" s="47">
        <v>46101.336805555555</v>
      </c>
      <c r="AU84" s="48" t="s">
        <v>63</v>
      </c>
    </row>
    <row r="85" spans="1:47" ht="13.5" customHeight="1" x14ac:dyDescent="0.2">
      <c r="A85" s="20" t="s">
        <v>160</v>
      </c>
      <c r="B85" s="20"/>
      <c r="C85" s="20"/>
      <c r="D85" s="20"/>
      <c r="E85" s="21">
        <v>231303</v>
      </c>
      <c r="F85" s="22">
        <v>4</v>
      </c>
      <c r="G85" s="22">
        <v>1</v>
      </c>
      <c r="H85" s="23" t="s">
        <v>164</v>
      </c>
      <c r="I85" s="20" t="s">
        <v>83</v>
      </c>
      <c r="J85" s="20"/>
      <c r="P85" s="45"/>
      <c r="Q85" s="45"/>
      <c r="R85" s="45"/>
      <c r="S85" s="45"/>
      <c r="T85" s="51"/>
      <c r="U85" s="45"/>
      <c r="V85" s="45"/>
      <c r="AP85" s="45"/>
      <c r="AQ85" s="45"/>
      <c r="AR85" s="45"/>
      <c r="AS85" s="45"/>
      <c r="AT85" s="45"/>
      <c r="AU85" s="45"/>
    </row>
    <row r="86" spans="1:47" ht="13.5" customHeight="1" x14ac:dyDescent="0.2">
      <c r="A86" s="20" t="s">
        <v>165</v>
      </c>
      <c r="B86" s="20"/>
      <c r="C86" s="20"/>
      <c r="D86" s="20"/>
      <c r="E86" s="21">
        <v>231304</v>
      </c>
      <c r="F86" s="22">
        <v>1</v>
      </c>
      <c r="G86" s="22">
        <v>1</v>
      </c>
      <c r="H86" s="23" t="s">
        <v>166</v>
      </c>
      <c r="I86" s="20" t="s">
        <v>153</v>
      </c>
      <c r="J86" s="20"/>
      <c r="P86" s="45" t="s">
        <v>254</v>
      </c>
      <c r="Q86" s="45">
        <v>231304</v>
      </c>
      <c r="R86" s="45">
        <v>1</v>
      </c>
      <c r="S86" s="46">
        <v>1</v>
      </c>
      <c r="T86" s="51">
        <v>46104.275000000001</v>
      </c>
      <c r="U86" s="48" t="s">
        <v>63</v>
      </c>
      <c r="V86" s="48" t="s">
        <v>188</v>
      </c>
      <c r="AP86" s="45" t="s">
        <v>254</v>
      </c>
      <c r="AQ86" s="45">
        <v>231304</v>
      </c>
      <c r="AR86" s="45">
        <v>1</v>
      </c>
      <c r="AS86" s="45">
        <v>1</v>
      </c>
      <c r="AT86" s="47">
        <v>46101.336111111108</v>
      </c>
      <c r="AU86" s="48" t="s">
        <v>63</v>
      </c>
    </row>
    <row r="87" spans="1:47" ht="13.5" customHeight="1" x14ac:dyDescent="0.2">
      <c r="A87" s="20" t="s">
        <v>165</v>
      </c>
      <c r="B87" s="20"/>
      <c r="C87" s="20"/>
      <c r="D87" s="20"/>
      <c r="E87" s="21">
        <v>231304</v>
      </c>
      <c r="F87" s="22">
        <v>2</v>
      </c>
      <c r="G87" s="22">
        <v>1</v>
      </c>
      <c r="H87" s="23" t="s">
        <v>167</v>
      </c>
      <c r="I87" s="20" t="s">
        <v>153</v>
      </c>
      <c r="J87" s="20"/>
      <c r="P87" s="45" t="s">
        <v>255</v>
      </c>
      <c r="Q87" s="45">
        <v>231304</v>
      </c>
      <c r="R87" s="45">
        <v>2</v>
      </c>
      <c r="S87" s="46">
        <v>1</v>
      </c>
      <c r="T87" s="51">
        <v>46104.270833333336</v>
      </c>
      <c r="U87" s="48" t="s">
        <v>63</v>
      </c>
      <c r="V87" s="48" t="s">
        <v>188</v>
      </c>
      <c r="AP87" s="45" t="s">
        <v>255</v>
      </c>
      <c r="AQ87" s="45">
        <v>231304</v>
      </c>
      <c r="AR87" s="45">
        <v>2</v>
      </c>
      <c r="AS87" s="45">
        <v>1</v>
      </c>
      <c r="AT87" s="47">
        <v>46101.338194444441</v>
      </c>
      <c r="AU87" s="48" t="s">
        <v>63</v>
      </c>
    </row>
    <row r="88" spans="1:47" ht="13.5" customHeight="1" x14ac:dyDescent="0.2">
      <c r="A88" s="20" t="s">
        <v>165</v>
      </c>
      <c r="B88" s="20"/>
      <c r="C88" s="20"/>
      <c r="D88" s="20"/>
      <c r="E88" s="21">
        <v>231304</v>
      </c>
      <c r="F88" s="22">
        <v>3</v>
      </c>
      <c r="G88" s="22">
        <v>1</v>
      </c>
      <c r="H88" s="23" t="s">
        <v>168</v>
      </c>
      <c r="I88" s="20" t="s">
        <v>153</v>
      </c>
      <c r="J88" s="20"/>
      <c r="P88" s="45" t="s">
        <v>256</v>
      </c>
      <c r="Q88" s="45">
        <v>231304</v>
      </c>
      <c r="R88" s="45">
        <v>3</v>
      </c>
      <c r="S88" s="46">
        <v>1</v>
      </c>
      <c r="T88" s="51">
        <v>46104.267361111109</v>
      </c>
      <c r="U88" s="48" t="s">
        <v>63</v>
      </c>
      <c r="V88" s="48" t="s">
        <v>188</v>
      </c>
      <c r="AP88" s="45" t="s">
        <v>256</v>
      </c>
      <c r="AQ88" s="45">
        <v>231304</v>
      </c>
      <c r="AR88" s="45">
        <v>3</v>
      </c>
      <c r="AS88" s="45">
        <v>1</v>
      </c>
      <c r="AT88" s="47">
        <v>46101.338888888888</v>
      </c>
      <c r="AU88" s="48" t="s">
        <v>63</v>
      </c>
    </row>
    <row r="89" spans="1:47" ht="13.5" customHeight="1" x14ac:dyDescent="0.2">
      <c r="A89" s="20" t="s">
        <v>169</v>
      </c>
      <c r="B89" s="20"/>
      <c r="C89" s="20"/>
      <c r="D89" s="20"/>
      <c r="E89" s="21">
        <v>231305</v>
      </c>
      <c r="F89" s="22">
        <v>1</v>
      </c>
      <c r="G89" s="22">
        <v>1</v>
      </c>
      <c r="H89" s="23" t="s">
        <v>170</v>
      </c>
      <c r="I89" s="20" t="s">
        <v>153</v>
      </c>
      <c r="J89" s="20"/>
      <c r="P89" s="45" t="s">
        <v>257</v>
      </c>
      <c r="Q89" s="45">
        <v>231305</v>
      </c>
      <c r="R89" s="45">
        <v>1</v>
      </c>
      <c r="S89" s="46">
        <v>1</v>
      </c>
      <c r="T89" s="51">
        <v>46104.275694444441</v>
      </c>
      <c r="U89" s="48" t="s">
        <v>63</v>
      </c>
      <c r="V89" s="48" t="s">
        <v>188</v>
      </c>
      <c r="AP89" s="45" t="s">
        <v>257</v>
      </c>
      <c r="AQ89" s="45">
        <v>231305</v>
      </c>
      <c r="AR89" s="45">
        <v>1</v>
      </c>
      <c r="AS89" s="45">
        <v>1</v>
      </c>
      <c r="AT89" s="47">
        <v>46101.335416666669</v>
      </c>
      <c r="AU89" s="48" t="s">
        <v>63</v>
      </c>
    </row>
    <row r="90" spans="1:47" ht="13.5" customHeight="1" x14ac:dyDescent="0.2">
      <c r="A90" s="20" t="s">
        <v>169</v>
      </c>
      <c r="B90" s="20"/>
      <c r="C90" s="20"/>
      <c r="D90" s="20"/>
      <c r="E90" s="21">
        <v>231305</v>
      </c>
      <c r="F90" s="22">
        <v>2</v>
      </c>
      <c r="G90" s="22">
        <v>1</v>
      </c>
      <c r="H90" s="23" t="s">
        <v>171</v>
      </c>
      <c r="I90" s="20" t="s">
        <v>153</v>
      </c>
      <c r="J90" s="20"/>
      <c r="P90" s="45" t="s">
        <v>258</v>
      </c>
      <c r="Q90" s="45">
        <v>231305</v>
      </c>
      <c r="R90" s="45">
        <v>2</v>
      </c>
      <c r="S90" s="46">
        <v>1</v>
      </c>
      <c r="T90" s="51">
        <v>46104.272222222222</v>
      </c>
      <c r="U90" s="48" t="s">
        <v>63</v>
      </c>
      <c r="V90" s="48" t="s">
        <v>188</v>
      </c>
      <c r="AP90" s="45" t="s">
        <v>258</v>
      </c>
      <c r="AQ90" s="45">
        <v>231305</v>
      </c>
      <c r="AR90" s="45">
        <v>2</v>
      </c>
      <c r="AS90" s="45">
        <v>1</v>
      </c>
      <c r="AT90" s="47">
        <v>46101.337500000001</v>
      </c>
      <c r="AU90" s="48" t="s">
        <v>63</v>
      </c>
    </row>
    <row r="91" spans="1:47" ht="13.5" customHeight="1" x14ac:dyDescent="0.2">
      <c r="A91" s="20" t="s">
        <v>172</v>
      </c>
      <c r="B91" s="20"/>
      <c r="C91" s="20"/>
      <c r="D91" s="20"/>
      <c r="E91" s="21">
        <v>231307</v>
      </c>
      <c r="F91" s="22">
        <v>1</v>
      </c>
      <c r="G91" s="22">
        <v>1</v>
      </c>
      <c r="H91" s="23" t="s">
        <v>173</v>
      </c>
      <c r="I91" s="20" t="s">
        <v>174</v>
      </c>
      <c r="J91" s="20"/>
      <c r="P91" s="45" t="s">
        <v>259</v>
      </c>
      <c r="Q91" s="45">
        <v>231307</v>
      </c>
      <c r="R91" s="45">
        <v>1</v>
      </c>
      <c r="S91" s="46">
        <v>1</v>
      </c>
      <c r="T91" s="51">
        <v>46104.453472222223</v>
      </c>
      <c r="U91" s="48" t="s">
        <v>63</v>
      </c>
      <c r="V91" s="48" t="s">
        <v>188</v>
      </c>
      <c r="AP91" s="45" t="s">
        <v>259</v>
      </c>
      <c r="AQ91" s="45">
        <v>231307</v>
      </c>
      <c r="AR91" s="45">
        <v>1</v>
      </c>
      <c r="AS91" s="45">
        <v>1</v>
      </c>
      <c r="AT91" s="47">
        <v>46101.339583333334</v>
      </c>
      <c r="AU91" s="48" t="s">
        <v>63</v>
      </c>
    </row>
    <row r="92" spans="1:47" ht="13.5" customHeight="1" x14ac:dyDescent="0.2">
      <c r="A92" s="20" t="s">
        <v>175</v>
      </c>
      <c r="B92" s="20"/>
      <c r="C92" s="20"/>
      <c r="D92" s="20"/>
      <c r="E92" s="21">
        <v>231309</v>
      </c>
      <c r="F92" s="22">
        <v>1</v>
      </c>
      <c r="G92" s="22">
        <v>1</v>
      </c>
      <c r="H92" s="23" t="s">
        <v>176</v>
      </c>
      <c r="I92" s="20" t="s">
        <v>177</v>
      </c>
      <c r="J92" s="20"/>
      <c r="P92" s="45" t="s">
        <v>260</v>
      </c>
      <c r="Q92" s="45">
        <v>231309</v>
      </c>
      <c r="R92" s="45">
        <v>1</v>
      </c>
      <c r="S92" s="46">
        <v>1</v>
      </c>
      <c r="T92" s="51">
        <v>46104.272916666669</v>
      </c>
      <c r="U92" s="48" t="s">
        <v>63</v>
      </c>
      <c r="V92" s="48" t="s">
        <v>188</v>
      </c>
      <c r="AP92" s="45" t="s">
        <v>260</v>
      </c>
      <c r="AQ92" s="45">
        <v>231309</v>
      </c>
      <c r="AR92" s="45">
        <v>1</v>
      </c>
      <c r="AS92" s="45">
        <v>1</v>
      </c>
      <c r="AT92" s="47">
        <v>46101.336805555555</v>
      </c>
      <c r="AU92" s="48" t="s">
        <v>63</v>
      </c>
    </row>
    <row r="93" spans="1:47" ht="13.5" customHeight="1" x14ac:dyDescent="0.2">
      <c r="A93" s="20" t="s">
        <v>175</v>
      </c>
      <c r="B93" s="20"/>
      <c r="C93" s="20"/>
      <c r="D93" s="20"/>
      <c r="E93" s="21">
        <v>231309</v>
      </c>
      <c r="F93" s="22">
        <v>2</v>
      </c>
      <c r="G93" s="22">
        <v>1</v>
      </c>
      <c r="H93" s="23" t="s">
        <v>178</v>
      </c>
      <c r="I93" s="20" t="s">
        <v>177</v>
      </c>
      <c r="J93" s="20"/>
      <c r="P93" s="45" t="s">
        <v>261</v>
      </c>
      <c r="Q93" s="45">
        <v>231309</v>
      </c>
      <c r="R93" s="45">
        <v>2</v>
      </c>
      <c r="S93" s="46">
        <v>1</v>
      </c>
      <c r="T93" s="51">
        <v>46104.263194444444</v>
      </c>
      <c r="U93" s="48" t="s">
        <v>63</v>
      </c>
      <c r="V93" s="48" t="s">
        <v>188</v>
      </c>
      <c r="AP93" s="45" t="s">
        <v>261</v>
      </c>
      <c r="AQ93" s="45">
        <v>231309</v>
      </c>
      <c r="AR93" s="45">
        <v>2</v>
      </c>
      <c r="AS93" s="45">
        <v>1</v>
      </c>
      <c r="AT93" s="47">
        <v>46101.584027777775</v>
      </c>
      <c r="AU93" s="48" t="s">
        <v>63</v>
      </c>
    </row>
    <row r="94" spans="1:47" ht="13.5" customHeight="1" x14ac:dyDescent="0.2">
      <c r="A94" s="20" t="s">
        <v>175</v>
      </c>
      <c r="B94" s="20"/>
      <c r="C94" s="20"/>
      <c r="D94" s="20"/>
      <c r="E94" s="21">
        <v>231309</v>
      </c>
      <c r="F94" s="22">
        <v>3</v>
      </c>
      <c r="G94" s="22">
        <v>1</v>
      </c>
      <c r="H94" s="23" t="s">
        <v>179</v>
      </c>
      <c r="I94" s="20" t="s">
        <v>177</v>
      </c>
      <c r="J94" s="20"/>
      <c r="P94" s="45" t="s">
        <v>262</v>
      </c>
      <c r="Q94" s="45">
        <v>231309</v>
      </c>
      <c r="R94" s="45">
        <v>3</v>
      </c>
      <c r="S94" s="46">
        <v>1</v>
      </c>
      <c r="T94" s="51">
        <v>46104.45416666667</v>
      </c>
      <c r="U94" s="48" t="s">
        <v>63</v>
      </c>
      <c r="V94" s="48" t="s">
        <v>188</v>
      </c>
      <c r="AP94" s="45" t="s">
        <v>262</v>
      </c>
      <c r="AQ94" s="45">
        <v>231309</v>
      </c>
      <c r="AR94" s="45">
        <v>3</v>
      </c>
      <c r="AS94" s="45">
        <v>1</v>
      </c>
      <c r="AT94" s="47">
        <v>46101.538888888892</v>
      </c>
      <c r="AU94" s="48" t="s">
        <v>63</v>
      </c>
    </row>
    <row r="95" spans="1:47" ht="13.5" customHeight="1" x14ac:dyDescent="0.2">
      <c r="A95" s="20" t="s">
        <v>180</v>
      </c>
      <c r="B95" s="20"/>
      <c r="C95" s="20"/>
      <c r="D95" s="20"/>
      <c r="E95" s="21">
        <v>231473</v>
      </c>
      <c r="F95" s="22">
        <v>1</v>
      </c>
      <c r="G95" s="22">
        <v>1</v>
      </c>
      <c r="H95" s="23" t="s">
        <v>181</v>
      </c>
      <c r="I95" s="20" t="s">
        <v>46</v>
      </c>
      <c r="J95" s="20"/>
      <c r="P95" s="45" t="s">
        <v>263</v>
      </c>
      <c r="Q95" s="45">
        <v>231473</v>
      </c>
      <c r="R95" s="45">
        <v>1</v>
      </c>
      <c r="S95" s="46">
        <v>1</v>
      </c>
      <c r="T95" s="51">
        <v>46104.265972222223</v>
      </c>
      <c r="U95" s="48" t="s">
        <v>63</v>
      </c>
      <c r="V95" s="48" t="s">
        <v>188</v>
      </c>
      <c r="AP95" s="45" t="s">
        <v>263</v>
      </c>
      <c r="AQ95" s="45">
        <v>231473</v>
      </c>
      <c r="AR95" s="45">
        <v>1</v>
      </c>
      <c r="AS95" s="45">
        <v>1</v>
      </c>
      <c r="AT95" s="47">
        <v>46101.568749999999</v>
      </c>
      <c r="AU95" s="48" t="s">
        <v>63</v>
      </c>
    </row>
    <row r="96" spans="1:47" ht="13.5" customHeight="1" x14ac:dyDescent="0.2">
      <c r="A96" s="20" t="s">
        <v>182</v>
      </c>
      <c r="B96" s="20"/>
      <c r="C96" s="20"/>
      <c r="D96" s="20"/>
      <c r="E96" s="21">
        <v>231474</v>
      </c>
      <c r="F96" s="22">
        <v>2</v>
      </c>
      <c r="G96" s="22">
        <v>1</v>
      </c>
      <c r="H96" s="23" t="s">
        <v>183</v>
      </c>
      <c r="I96" s="20" t="s">
        <v>45</v>
      </c>
      <c r="J96" s="20"/>
      <c r="P96" s="45" t="s">
        <v>264</v>
      </c>
      <c r="Q96" s="45">
        <v>231474</v>
      </c>
      <c r="R96" s="45">
        <v>2</v>
      </c>
      <c r="S96" s="46">
        <v>1</v>
      </c>
      <c r="T96" s="51">
        <v>46104.265972222223</v>
      </c>
      <c r="U96" s="48" t="s">
        <v>63</v>
      </c>
      <c r="V96" s="48" t="s">
        <v>188</v>
      </c>
      <c r="AP96" s="45" t="s">
        <v>264</v>
      </c>
      <c r="AQ96" s="45">
        <v>231474</v>
      </c>
      <c r="AR96" s="45">
        <v>2</v>
      </c>
      <c r="AS96" s="45">
        <v>1</v>
      </c>
      <c r="AT96" s="47">
        <v>46101.582638888889</v>
      </c>
      <c r="AU96" s="48" t="s">
        <v>63</v>
      </c>
    </row>
    <row r="97" spans="1:47" ht="13.5" customHeight="1" x14ac:dyDescent="0.2">
      <c r="A97" s="20" t="s">
        <v>184</v>
      </c>
      <c r="B97" s="20"/>
      <c r="C97" s="20"/>
      <c r="D97" s="20"/>
      <c r="E97" s="21">
        <v>231475</v>
      </c>
      <c r="F97" s="22">
        <v>1</v>
      </c>
      <c r="G97" s="22">
        <v>1</v>
      </c>
      <c r="H97" s="23" t="s">
        <v>185</v>
      </c>
      <c r="I97" s="20" t="s">
        <v>186</v>
      </c>
      <c r="J97" s="20"/>
      <c r="P97" s="45" t="s">
        <v>265</v>
      </c>
      <c r="Q97" s="45">
        <v>231475</v>
      </c>
      <c r="R97" s="45">
        <v>1</v>
      </c>
      <c r="S97" s="46">
        <v>1</v>
      </c>
      <c r="T97" s="51">
        <v>46104.267361111109</v>
      </c>
      <c r="U97" s="48" t="s">
        <v>63</v>
      </c>
      <c r="V97" s="48" t="s">
        <v>188</v>
      </c>
      <c r="AP97" s="45" t="s">
        <v>265</v>
      </c>
      <c r="AQ97" s="45">
        <v>231475</v>
      </c>
      <c r="AR97" s="45">
        <v>1</v>
      </c>
      <c r="AS97" s="45">
        <v>1</v>
      </c>
      <c r="AT97" s="47">
        <v>46101.556250000001</v>
      </c>
      <c r="AU97" s="48" t="s">
        <v>63</v>
      </c>
    </row>
    <row r="98" spans="1:47" ht="12" customHeight="1" x14ac:dyDescent="0.2"/>
    <row r="99" spans="1:47" ht="12.95" customHeight="1" x14ac:dyDescent="0.2"/>
    <row r="100" spans="1:47" ht="15" customHeight="1" x14ac:dyDescent="0.2">
      <c r="J100" s="24"/>
      <c r="K100" s="25"/>
      <c r="L100" s="25"/>
      <c r="M100" s="25"/>
      <c r="N100" s="25"/>
    </row>
  </sheetData>
  <sheetProtection sheet="1" objects="1" scenarios="1" selectLockedCells="1" selectUnlockedCells="1"/>
  <mergeCells count="185">
    <mergeCell ref="X3:AG3"/>
    <mergeCell ref="AO3:AV3"/>
    <mergeCell ref="O2:W2"/>
    <mergeCell ref="X2:AG2"/>
    <mergeCell ref="AO2:AV2"/>
    <mergeCell ref="A96:D96"/>
    <mergeCell ref="I96:J96"/>
    <mergeCell ref="A97:D97"/>
    <mergeCell ref="I97:J97"/>
    <mergeCell ref="O3:W3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7:D67"/>
    <mergeCell ref="I67:J67"/>
    <mergeCell ref="A69:D69"/>
    <mergeCell ref="I69:J69"/>
    <mergeCell ref="A71:D71"/>
    <mergeCell ref="I71:J71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9:D9"/>
    <mergeCell ref="I9:J9"/>
    <mergeCell ref="A10:D10"/>
    <mergeCell ref="I10:J10"/>
    <mergeCell ref="A11:D11"/>
    <mergeCell ref="I11:J11"/>
    <mergeCell ref="D2:H2"/>
    <mergeCell ref="I2:L2"/>
    <mergeCell ref="A5:D5"/>
    <mergeCell ref="I5:J5"/>
    <mergeCell ref="L5:M5"/>
    <mergeCell ref="A8:D8"/>
    <mergeCell ref="I8:J8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4EE3-A678-489F-95AA-395FADFD12CF}">
  <sheetPr codeName="Sheet3">
    <outlinePr summaryBelow="0" summaryRight="0"/>
    <pageSetUpPr autoPageBreaks="0"/>
  </sheetPr>
  <dimension ref="A1:AV100"/>
  <sheetViews>
    <sheetView workbookViewId="0">
      <pane ySplit="2" topLeftCell="A3" activePane="bottomLeft" state="frozenSplit"/>
      <selection pane="bottomLeft" activeCell="AO3" sqref="AO3:AV3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5.140625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2" hidden="1" customWidth="1"/>
    <col min="16" max="16" width="20.7109375" style="4" hidden="1" customWidth="1"/>
    <col min="17" max="17" width="12.7109375" style="4" hidden="1" customWidth="1"/>
    <col min="18" max="18" width="10.7109375" style="4" hidden="1" customWidth="1"/>
    <col min="19" max="19" width="16.7109375" style="4" hidden="1" customWidth="1"/>
    <col min="20" max="20" width="25.7109375" style="5" hidden="1" customWidth="1"/>
    <col min="21" max="22" width="15.7109375" style="4" hidden="1" customWidth="1"/>
    <col min="23" max="23" width="20.7109375" style="4" hidden="1" customWidth="1"/>
    <col min="24" max="24" width="18.7109375" style="2" hidden="1" customWidth="1"/>
    <col min="25" max="27" width="20.7109375" style="4" hidden="1" customWidth="1"/>
    <col min="28" max="28" width="16.7109375" style="4" hidden="1" customWidth="1"/>
    <col min="29" max="29" width="25.7109375" style="5" hidden="1" customWidth="1"/>
    <col min="30" max="30" width="20.7109375" style="4" hidden="1" customWidth="1"/>
    <col min="31" max="31" width="2.7109375" style="4" hidden="1" customWidth="1"/>
    <col min="32" max="32" width="20.7109375" style="4" hidden="1" customWidth="1"/>
    <col min="33" max="33" width="15.7109375" style="4" hidden="1" customWidth="1"/>
    <col min="34" max="40" width="6.85546875" style="3" hidden="1" customWidth="1"/>
    <col min="41" max="41" width="18.7109375" style="2" customWidth="1"/>
    <col min="42" max="42" width="20.7109375" style="4" customWidth="1"/>
    <col min="43" max="43" width="12.7109375" style="4" customWidth="1"/>
    <col min="44" max="44" width="10.7109375" style="4" customWidth="1"/>
    <col min="45" max="45" width="16.7109375" style="4" customWidth="1"/>
    <col min="46" max="46" width="25.7109375" style="4" customWidth="1"/>
    <col min="47" max="47" width="15.7109375" style="4" customWidth="1"/>
    <col min="48" max="48" width="20.7109375" style="4" customWidth="1"/>
    <col min="49" max="16384" width="6.85546875" style="3" customWidth="1"/>
  </cols>
  <sheetData>
    <row r="1" spans="1:48" s="12" customFormat="1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O1" s="26"/>
      <c r="AP1" s="27"/>
      <c r="AQ1" s="27"/>
      <c r="AR1" s="27"/>
      <c r="AS1" s="27"/>
      <c r="AT1" s="27"/>
      <c r="AU1" s="27"/>
      <c r="AV1" s="27"/>
    </row>
    <row r="2" spans="1:48" s="12" customFormat="1" ht="24" customHeight="1" x14ac:dyDescent="0.2">
      <c r="D2" s="13" t="s">
        <v>0</v>
      </c>
      <c r="E2" s="13"/>
      <c r="F2" s="13"/>
      <c r="G2" s="13"/>
      <c r="H2" s="13"/>
      <c r="I2" s="14" t="s">
        <v>64</v>
      </c>
      <c r="J2" s="14"/>
      <c r="K2" s="14"/>
      <c r="L2" s="14"/>
      <c r="O2" s="53" t="str">
        <f ca="1">"Outbound: "&amp;SUMPRODUCT(SUBTOTAL(103,OFFSET($E$6,ROW($E$6:$E$97)-ROW($E$6),0,1)),--($U$6:$U$97="OK"),--($E$6:$E$97&lt;&gt;""))&amp;"/"&amp;SUMPRODUCT(SUBTOTAL(103,OFFSET($E$6,ROW($E$6:$E$97)-ROW($E$6),0,1)),--($E$6:$E$97&lt;&gt;""))&amp;" • "&amp;TEXT(IFERROR(SUMPRODUCT(SUBTOTAL(103,OFFSET($E$6,ROW($E$6:$E$97)-ROW($E$6),0,1)),--((($V$6:$V$97="On-Time")+($V$6:$V$97="Early"))&gt;0),--($E$6:$E$97&lt;&gt;""))/SUMPRODUCT(SUBTOTAL(103,OFFSET($E$6,ROW($E$6:$E$97)-ROW($E$6),0,1)),--($E$6:$E$97&lt;&gt;"")),0),"0.0%")&amp;" On Time"</f>
        <v>Outbound: 77/87 • 89.7% On Time</v>
      </c>
      <c r="P2" s="53"/>
      <c r="Q2" s="53"/>
      <c r="R2" s="53"/>
      <c r="S2" s="53"/>
      <c r="T2" s="53"/>
      <c r="U2" s="53"/>
      <c r="V2" s="53"/>
      <c r="W2" s="53"/>
      <c r="X2" s="54" t="str">
        <f ca="1">"Inbound: "&amp;SUMPRODUCT(SUBTOTAL(103,OFFSET($E$6,ROW($E$6:$E$97)-ROW($E$6),0,1)),--($AD$6:$AD$97="Received"),--($E$6:$E$97&lt;&gt;""))&amp;"/"&amp;SUMPRODUCT(SUBTOTAL(103,OFFSET($E$6,ROW($E$6:$E$97)-ROW($E$6),0,1)),--($E$6:$E$97&lt;&gt;""))&amp;" • "&amp;TEXT(IFERROR(SUMPRODUCT(SUBTOTAL(103,OFFSET($E$6,ROW($E$6:$E$97)-ROW($E$6),0,1)),--($AD$6:$AD$97="Received"),--($E$6:$E$97&lt;&gt;""))/SUMPRODUCT(SUBTOTAL(103,OFFSET($E$6,ROW($E$6:$E$97)-ROW($E$6),0,1)),--($E$6:$E$97&lt;&gt;"")),0),"0.0%")&amp;" Complete"</f>
        <v>Inbound: 0/87 • 0.0% Complete</v>
      </c>
      <c r="Y2" s="54"/>
      <c r="Z2" s="54"/>
      <c r="AA2" s="54"/>
      <c r="AB2" s="54"/>
      <c r="AC2" s="54"/>
      <c r="AD2" s="54"/>
      <c r="AE2" s="54"/>
      <c r="AF2" s="54"/>
      <c r="AG2" s="54"/>
      <c r="AO2" s="55" t="str">
        <f ca="1">"Staged: "&amp;SUMPRODUCT(SUBTOTAL(103,OFFSET($E$6,ROW($E$6:$E$97)-ROW($E$6),0,1)),--($AU$6:$AU$97="OK"),--($E$6:$E$97&lt;&gt;""))&amp;"/"&amp;SUMPRODUCT(SUBTOTAL(103,OFFSET($E$6,ROW($E$6:$E$97)-ROW($E$6),0,1)),--($E$6:$E$97&lt;&gt;""))&amp;" • "&amp;TEXT(IFERROR(SUMPRODUCT(SUBTOTAL(103,OFFSET($E$6,ROW($E$6:$E$97)-ROW($E$6),0,1)),--($AU$6:$AU$97="OK"),--($E$6:$E$97&lt;&gt;""))/SUMPRODUCT(SUBTOTAL(103,OFFSET($E$6,ROW($E$6:$E$97)-ROW($E$6),0,1)),--($E$6:$E$97&lt;&gt;"")),0),"0.0%")&amp;" Complete"</f>
        <v>Staged: 77/87 • 88.5% Complete</v>
      </c>
      <c r="AP2" s="55"/>
      <c r="AQ2" s="55"/>
      <c r="AR2" s="55"/>
      <c r="AS2" s="55"/>
      <c r="AT2" s="55"/>
      <c r="AU2" s="55"/>
      <c r="AV2" s="55"/>
    </row>
    <row r="3" spans="1:48" ht="85.5" customHeight="1" x14ac:dyDescent="0.2">
      <c r="O3" s="9" t="s">
        <v>39</v>
      </c>
      <c r="P3" s="10"/>
      <c r="Q3" s="10"/>
      <c r="R3" s="10"/>
      <c r="S3" s="10"/>
      <c r="T3" s="10"/>
      <c r="U3" s="10"/>
      <c r="V3" s="10"/>
      <c r="W3" s="10"/>
      <c r="X3" s="9" t="s">
        <v>41</v>
      </c>
      <c r="Y3" s="10"/>
      <c r="Z3" s="10"/>
      <c r="AA3" s="10"/>
      <c r="AB3" s="10"/>
      <c r="AC3" s="10"/>
      <c r="AD3" s="10"/>
      <c r="AE3" s="10"/>
      <c r="AF3" s="10"/>
      <c r="AG3" s="10"/>
      <c r="AO3" s="9" t="s">
        <v>40</v>
      </c>
      <c r="AP3" s="10"/>
      <c r="AQ3" s="10"/>
      <c r="AR3" s="10"/>
      <c r="AS3" s="10"/>
      <c r="AT3" s="10"/>
      <c r="AU3" s="10"/>
      <c r="AV3" s="10"/>
    </row>
    <row r="4" spans="1:48" ht="20.100000000000001" customHeight="1" x14ac:dyDescent="0.2">
      <c r="O4" s="6" t="s">
        <v>9</v>
      </c>
      <c r="P4" s="11"/>
      <c r="X4" s="6" t="s">
        <v>9</v>
      </c>
      <c r="Y4" s="11"/>
      <c r="AO4" s="6" t="s">
        <v>9</v>
      </c>
      <c r="AP4" s="11"/>
      <c r="AT4" s="5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62</v>
      </c>
      <c r="M5" s="18"/>
      <c r="P5" s="7" t="s">
        <v>10</v>
      </c>
      <c r="Q5" s="7" t="s">
        <v>2</v>
      </c>
      <c r="R5" s="7" t="s">
        <v>3</v>
      </c>
      <c r="S5" s="7" t="s">
        <v>11</v>
      </c>
      <c r="T5" s="8" t="s">
        <v>12</v>
      </c>
      <c r="U5" s="7" t="s">
        <v>13</v>
      </c>
      <c r="V5" s="7" t="s">
        <v>14</v>
      </c>
      <c r="W5" s="7" t="s">
        <v>15</v>
      </c>
      <c r="Y5" s="7" t="s">
        <v>16</v>
      </c>
      <c r="Z5" s="7" t="s">
        <v>17</v>
      </c>
      <c r="AA5" s="7" t="s">
        <v>18</v>
      </c>
      <c r="AB5" s="7" t="s">
        <v>19</v>
      </c>
      <c r="AC5" s="8" t="s">
        <v>20</v>
      </c>
      <c r="AD5" s="7" t="s">
        <v>21</v>
      </c>
      <c r="AE5" s="7"/>
      <c r="AF5" s="7" t="s">
        <v>15</v>
      </c>
      <c r="AG5" s="7" t="s">
        <v>22</v>
      </c>
      <c r="AP5" s="7" t="s">
        <v>10</v>
      </c>
      <c r="AQ5" s="7" t="s">
        <v>2</v>
      </c>
      <c r="AR5" s="7" t="s">
        <v>3</v>
      </c>
      <c r="AS5" s="7" t="s">
        <v>11</v>
      </c>
      <c r="AT5" s="7" t="s">
        <v>12</v>
      </c>
      <c r="AU5" s="7" t="s">
        <v>13</v>
      </c>
      <c r="AV5" s="7" t="s">
        <v>15</v>
      </c>
    </row>
    <row r="6" spans="1:48" ht="8.25" customHeight="1" x14ac:dyDescent="0.2"/>
    <row r="7" spans="1:48" ht="13.5" customHeight="1" x14ac:dyDescent="0.2">
      <c r="A7" s="19" t="s">
        <v>65</v>
      </c>
    </row>
    <row r="8" spans="1:48" ht="13.5" customHeight="1" x14ac:dyDescent="0.2">
      <c r="A8" s="20" t="s">
        <v>66</v>
      </c>
      <c r="B8" s="20"/>
      <c r="C8" s="20"/>
      <c r="D8" s="20"/>
      <c r="E8" s="21">
        <v>231414</v>
      </c>
      <c r="F8" s="22">
        <v>1</v>
      </c>
      <c r="G8" s="22">
        <v>1</v>
      </c>
      <c r="H8" s="23" t="s">
        <v>67</v>
      </c>
      <c r="I8" s="20" t="s">
        <v>68</v>
      </c>
      <c r="J8" s="20"/>
    </row>
    <row r="9" spans="1:48" ht="13.5" customHeight="1" x14ac:dyDescent="0.2">
      <c r="A9" s="20" t="s">
        <v>69</v>
      </c>
      <c r="B9" s="20"/>
      <c r="C9" s="20"/>
      <c r="D9" s="20"/>
      <c r="E9" s="21">
        <v>231415</v>
      </c>
      <c r="F9" s="22">
        <v>1</v>
      </c>
      <c r="G9" s="22">
        <v>1</v>
      </c>
      <c r="H9" s="23" t="s">
        <v>70</v>
      </c>
      <c r="I9" s="20" t="s">
        <v>71</v>
      </c>
      <c r="J9" s="20"/>
    </row>
    <row r="10" spans="1:48" ht="13.5" customHeight="1" x14ac:dyDescent="0.2">
      <c r="A10" s="20" t="s">
        <v>72</v>
      </c>
      <c r="B10" s="20"/>
      <c r="C10" s="20"/>
      <c r="D10" s="20"/>
      <c r="E10" s="21">
        <v>231416</v>
      </c>
      <c r="F10" s="22">
        <v>1</v>
      </c>
      <c r="G10" s="22">
        <v>1</v>
      </c>
      <c r="H10" s="23" t="s">
        <v>73</v>
      </c>
      <c r="I10" s="20" t="s">
        <v>71</v>
      </c>
      <c r="J10" s="20"/>
    </row>
    <row r="11" spans="1:48" ht="13.5" customHeight="1" x14ac:dyDescent="0.2">
      <c r="A11" s="20" t="s">
        <v>72</v>
      </c>
      <c r="B11" s="20"/>
      <c r="C11" s="20"/>
      <c r="D11" s="20"/>
      <c r="E11" s="21">
        <v>231416</v>
      </c>
      <c r="F11" s="22">
        <v>3</v>
      </c>
      <c r="G11" s="22">
        <v>1</v>
      </c>
      <c r="H11" s="23" t="s">
        <v>74</v>
      </c>
      <c r="I11" s="20" t="s">
        <v>71</v>
      </c>
      <c r="J11" s="20"/>
    </row>
    <row r="12" spans="1:48" ht="13.5" customHeight="1" x14ac:dyDescent="0.2">
      <c r="A12" s="19" t="s">
        <v>7</v>
      </c>
    </row>
    <row r="13" spans="1:48" ht="13.5" customHeight="1" x14ac:dyDescent="0.2">
      <c r="A13" s="20" t="s">
        <v>75</v>
      </c>
      <c r="B13" s="20"/>
      <c r="C13" s="20"/>
      <c r="D13" s="20"/>
      <c r="E13" s="21">
        <v>231338</v>
      </c>
      <c r="F13" s="22">
        <v>1</v>
      </c>
      <c r="G13" s="22">
        <v>1</v>
      </c>
      <c r="H13" s="23" t="s">
        <v>50</v>
      </c>
      <c r="I13" s="20" t="s">
        <v>27</v>
      </c>
      <c r="J13" s="20"/>
      <c r="P13" s="39" t="s">
        <v>187</v>
      </c>
      <c r="Q13" s="39">
        <v>231338</v>
      </c>
      <c r="R13" s="39">
        <v>1</v>
      </c>
      <c r="S13" s="40">
        <v>1</v>
      </c>
      <c r="T13" s="52">
        <v>46104.334027777775</v>
      </c>
      <c r="U13" s="42" t="s">
        <v>63</v>
      </c>
      <c r="V13" s="42" t="s">
        <v>188</v>
      </c>
      <c r="AP13" s="39" t="s">
        <v>187</v>
      </c>
      <c r="AQ13" s="39">
        <v>231338</v>
      </c>
      <c r="AR13" s="39">
        <v>1</v>
      </c>
      <c r="AS13" s="39">
        <v>1</v>
      </c>
      <c r="AT13" s="41">
        <v>46104.326388888891</v>
      </c>
      <c r="AU13" s="42" t="s">
        <v>63</v>
      </c>
    </row>
    <row r="14" spans="1:48" ht="13.5" customHeight="1" x14ac:dyDescent="0.2">
      <c r="A14" s="20" t="s">
        <v>76</v>
      </c>
      <c r="B14" s="20"/>
      <c r="C14" s="20"/>
      <c r="D14" s="20"/>
      <c r="E14" s="21">
        <v>231343</v>
      </c>
      <c r="F14" s="22">
        <v>1</v>
      </c>
      <c r="G14" s="22">
        <v>1</v>
      </c>
      <c r="H14" s="23" t="s">
        <v>29</v>
      </c>
      <c r="I14" s="20" t="s">
        <v>77</v>
      </c>
      <c r="J14" s="20"/>
      <c r="P14" s="39"/>
      <c r="Q14" s="39"/>
      <c r="R14" s="39"/>
      <c r="S14" s="39"/>
      <c r="T14" s="52"/>
      <c r="U14" s="39"/>
      <c r="V14" s="39"/>
      <c r="AP14" s="39"/>
      <c r="AQ14" s="39"/>
      <c r="AR14" s="39"/>
      <c r="AS14" s="39"/>
      <c r="AT14" s="39"/>
      <c r="AU14" s="39"/>
    </row>
    <row r="15" spans="1:48" ht="13.5" customHeight="1" x14ac:dyDescent="0.2">
      <c r="A15" s="20" t="s">
        <v>78</v>
      </c>
      <c r="B15" s="20"/>
      <c r="C15" s="20"/>
      <c r="D15" s="20"/>
      <c r="E15" s="21">
        <v>231449</v>
      </c>
      <c r="F15" s="22">
        <v>1</v>
      </c>
      <c r="G15" s="22">
        <v>1</v>
      </c>
      <c r="H15" s="23" t="s">
        <v>79</v>
      </c>
      <c r="I15" s="20" t="s">
        <v>54</v>
      </c>
      <c r="J15" s="20"/>
      <c r="P15" s="39" t="s">
        <v>189</v>
      </c>
      <c r="Q15" s="39">
        <v>231449</v>
      </c>
      <c r="R15" s="39">
        <v>1</v>
      </c>
      <c r="S15" s="40">
        <v>1</v>
      </c>
      <c r="T15" s="52">
        <v>46104.574999999997</v>
      </c>
      <c r="U15" s="42" t="s">
        <v>63</v>
      </c>
      <c r="V15" s="42" t="s">
        <v>188</v>
      </c>
      <c r="AP15" s="39" t="s">
        <v>189</v>
      </c>
      <c r="AQ15" s="39">
        <v>231449</v>
      </c>
      <c r="AR15" s="39">
        <v>1</v>
      </c>
      <c r="AS15" s="39">
        <v>1</v>
      </c>
      <c r="AT15" s="41">
        <v>46104.433333333334</v>
      </c>
      <c r="AU15" s="42" t="s">
        <v>63</v>
      </c>
    </row>
    <row r="16" spans="1:48" ht="13.5" customHeight="1" x14ac:dyDescent="0.2">
      <c r="A16" s="20" t="s">
        <v>80</v>
      </c>
      <c r="B16" s="20"/>
      <c r="C16" s="20"/>
      <c r="D16" s="20"/>
      <c r="E16" s="21">
        <v>231450</v>
      </c>
      <c r="F16" s="22">
        <v>1</v>
      </c>
      <c r="G16" s="22">
        <v>1</v>
      </c>
      <c r="H16" s="23" t="s">
        <v>23</v>
      </c>
      <c r="I16" s="20" t="s">
        <v>24</v>
      </c>
      <c r="J16" s="20"/>
      <c r="P16" s="39" t="s">
        <v>190</v>
      </c>
      <c r="Q16" s="39">
        <v>231450</v>
      </c>
      <c r="R16" s="39">
        <v>1</v>
      </c>
      <c r="S16" s="40">
        <v>1</v>
      </c>
      <c r="T16" s="52">
        <v>46104.349305555559</v>
      </c>
      <c r="U16" s="42" t="s">
        <v>63</v>
      </c>
      <c r="V16" s="42" t="s">
        <v>188</v>
      </c>
      <c r="AP16" s="39" t="s">
        <v>190</v>
      </c>
      <c r="AQ16" s="39">
        <v>231450</v>
      </c>
      <c r="AR16" s="39">
        <v>1</v>
      </c>
      <c r="AS16" s="39">
        <v>1</v>
      </c>
      <c r="AT16" s="41">
        <v>46104.335416666669</v>
      </c>
      <c r="AU16" s="42" t="s">
        <v>63</v>
      </c>
    </row>
    <row r="17" spans="1:47" ht="13.5" customHeight="1" x14ac:dyDescent="0.2">
      <c r="A17" s="20" t="s">
        <v>80</v>
      </c>
      <c r="B17" s="20"/>
      <c r="C17" s="20"/>
      <c r="D17" s="20"/>
      <c r="E17" s="21">
        <v>231450</v>
      </c>
      <c r="F17" s="22">
        <v>2</v>
      </c>
      <c r="G17" s="22">
        <v>2</v>
      </c>
      <c r="H17" s="23" t="s">
        <v>25</v>
      </c>
      <c r="I17" s="20" t="s">
        <v>24</v>
      </c>
      <c r="J17" s="20"/>
      <c r="P17" s="39" t="s">
        <v>191</v>
      </c>
      <c r="Q17" s="39">
        <v>231450</v>
      </c>
      <c r="R17" s="39">
        <v>2</v>
      </c>
      <c r="S17" s="40">
        <v>2</v>
      </c>
      <c r="T17" s="52">
        <v>46104.350694444445</v>
      </c>
      <c r="U17" s="42" t="s">
        <v>63</v>
      </c>
      <c r="V17" s="42" t="s">
        <v>188</v>
      </c>
      <c r="AP17" s="39" t="s">
        <v>191</v>
      </c>
      <c r="AQ17" s="39">
        <v>231450</v>
      </c>
      <c r="AR17" s="39">
        <v>2</v>
      </c>
      <c r="AS17" s="39">
        <v>2</v>
      </c>
      <c r="AT17" s="41">
        <v>46104.334027777775</v>
      </c>
      <c r="AU17" s="42" t="s">
        <v>63</v>
      </c>
    </row>
    <row r="18" spans="1:47" ht="13.5" customHeight="1" x14ac:dyDescent="0.2">
      <c r="A18" s="20" t="s">
        <v>81</v>
      </c>
      <c r="B18" s="20"/>
      <c r="C18" s="20"/>
      <c r="D18" s="20"/>
      <c r="E18" s="21">
        <v>231451</v>
      </c>
      <c r="F18" s="22">
        <v>1</v>
      </c>
      <c r="G18" s="22">
        <v>1</v>
      </c>
      <c r="H18" s="23" t="s">
        <v>82</v>
      </c>
      <c r="I18" s="20" t="s">
        <v>83</v>
      </c>
      <c r="J18" s="20"/>
      <c r="P18" s="39" t="s">
        <v>192</v>
      </c>
      <c r="Q18" s="39">
        <v>231451</v>
      </c>
      <c r="R18" s="39">
        <v>1</v>
      </c>
      <c r="S18" s="40">
        <v>1</v>
      </c>
      <c r="T18" s="52">
        <v>46104.392361111109</v>
      </c>
      <c r="U18" s="42" t="s">
        <v>63</v>
      </c>
      <c r="V18" s="42" t="s">
        <v>188</v>
      </c>
      <c r="AP18" s="39" t="s">
        <v>192</v>
      </c>
      <c r="AQ18" s="39">
        <v>231451</v>
      </c>
      <c r="AR18" s="39">
        <v>1</v>
      </c>
      <c r="AS18" s="39">
        <v>1</v>
      </c>
      <c r="AT18" s="41">
        <v>46104.392361111109</v>
      </c>
      <c r="AU18" s="42" t="s">
        <v>63</v>
      </c>
    </row>
    <row r="19" spans="1:47" ht="13.5" customHeight="1" x14ac:dyDescent="0.2">
      <c r="A19" s="20" t="s">
        <v>81</v>
      </c>
      <c r="B19" s="20"/>
      <c r="C19" s="20"/>
      <c r="D19" s="20"/>
      <c r="E19" s="21">
        <v>231451</v>
      </c>
      <c r="F19" s="22">
        <v>2</v>
      </c>
      <c r="G19" s="22">
        <v>1</v>
      </c>
      <c r="H19" s="23" t="s">
        <v>28</v>
      </c>
      <c r="I19" s="20" t="s">
        <v>83</v>
      </c>
      <c r="J19" s="20"/>
      <c r="P19" s="39" t="s">
        <v>193</v>
      </c>
      <c r="Q19" s="39">
        <v>231451</v>
      </c>
      <c r="R19" s="39">
        <v>2</v>
      </c>
      <c r="S19" s="40">
        <v>1</v>
      </c>
      <c r="T19" s="52">
        <v>46104.574999999997</v>
      </c>
      <c r="U19" s="42" t="s">
        <v>63</v>
      </c>
      <c r="V19" s="42" t="s">
        <v>188</v>
      </c>
      <c r="AP19" s="39" t="s">
        <v>193</v>
      </c>
      <c r="AQ19" s="39">
        <v>231451</v>
      </c>
      <c r="AR19" s="39">
        <v>2</v>
      </c>
      <c r="AS19" s="39">
        <v>1</v>
      </c>
      <c r="AT19" s="41">
        <v>46104.434027777781</v>
      </c>
      <c r="AU19" s="42" t="s">
        <v>63</v>
      </c>
    </row>
    <row r="20" spans="1:47" ht="13.5" customHeight="1" x14ac:dyDescent="0.2">
      <c r="A20" s="20" t="s">
        <v>84</v>
      </c>
      <c r="B20" s="20"/>
      <c r="C20" s="20"/>
      <c r="D20" s="20"/>
      <c r="E20" s="21">
        <v>231452</v>
      </c>
      <c r="F20" s="22">
        <v>1</v>
      </c>
      <c r="G20" s="22">
        <v>4</v>
      </c>
      <c r="H20" s="23" t="s">
        <v>23</v>
      </c>
      <c r="I20" s="20" t="s">
        <v>24</v>
      </c>
      <c r="J20" s="20"/>
      <c r="P20" s="39" t="s">
        <v>194</v>
      </c>
      <c r="Q20" s="39">
        <v>231452</v>
      </c>
      <c r="R20" s="39">
        <v>1</v>
      </c>
      <c r="S20" s="40">
        <v>4</v>
      </c>
      <c r="T20" s="52">
        <v>46104.349305555559</v>
      </c>
      <c r="U20" s="42" t="s">
        <v>63</v>
      </c>
      <c r="V20" s="42" t="s">
        <v>188</v>
      </c>
      <c r="AP20" s="39" t="s">
        <v>194</v>
      </c>
      <c r="AQ20" s="39">
        <v>231452</v>
      </c>
      <c r="AR20" s="39">
        <v>1</v>
      </c>
      <c r="AS20" s="39">
        <v>4</v>
      </c>
      <c r="AT20" s="41">
        <v>46104.335416666669</v>
      </c>
      <c r="AU20" s="42" t="s">
        <v>63</v>
      </c>
    </row>
    <row r="21" spans="1:47" ht="13.5" customHeight="1" x14ac:dyDescent="0.2">
      <c r="A21" s="20" t="s">
        <v>84</v>
      </c>
      <c r="B21" s="20"/>
      <c r="C21" s="20"/>
      <c r="D21" s="20"/>
      <c r="E21" s="21">
        <v>231452</v>
      </c>
      <c r="F21" s="22">
        <v>2</v>
      </c>
      <c r="G21" s="22">
        <v>2</v>
      </c>
      <c r="H21" s="23" t="s">
        <v>25</v>
      </c>
      <c r="I21" s="20" t="s">
        <v>24</v>
      </c>
      <c r="J21" s="20"/>
      <c r="P21" s="39" t="s">
        <v>195</v>
      </c>
      <c r="Q21" s="39">
        <v>231452</v>
      </c>
      <c r="R21" s="39">
        <v>2</v>
      </c>
      <c r="S21" s="40">
        <v>2</v>
      </c>
      <c r="T21" s="52">
        <v>46104.352083333331</v>
      </c>
      <c r="U21" s="42" t="s">
        <v>63</v>
      </c>
      <c r="V21" s="42" t="s">
        <v>188</v>
      </c>
      <c r="AP21" s="39" t="s">
        <v>195</v>
      </c>
      <c r="AQ21" s="39">
        <v>231452</v>
      </c>
      <c r="AR21" s="39">
        <v>2</v>
      </c>
      <c r="AS21" s="39">
        <v>2</v>
      </c>
      <c r="AT21" s="41">
        <v>46104.334722222222</v>
      </c>
      <c r="AU21" s="42" t="s">
        <v>63</v>
      </c>
    </row>
    <row r="22" spans="1:47" ht="13.5" customHeight="1" x14ac:dyDescent="0.2">
      <c r="A22" s="20" t="s">
        <v>85</v>
      </c>
      <c r="B22" s="20"/>
      <c r="C22" s="20"/>
      <c r="D22" s="20"/>
      <c r="E22" s="21">
        <v>231453</v>
      </c>
      <c r="F22" s="22">
        <v>1</v>
      </c>
      <c r="G22" s="22">
        <v>4</v>
      </c>
      <c r="H22" s="23" t="s">
        <v>23</v>
      </c>
      <c r="I22" s="20" t="s">
        <v>24</v>
      </c>
      <c r="J22" s="20"/>
      <c r="P22" s="39" t="s">
        <v>196</v>
      </c>
      <c r="Q22" s="39">
        <v>231453</v>
      </c>
      <c r="R22" s="39">
        <v>1</v>
      </c>
      <c r="S22" s="40">
        <v>4</v>
      </c>
      <c r="T22" s="52">
        <v>46104.348611111112</v>
      </c>
      <c r="U22" s="42" t="s">
        <v>63</v>
      </c>
      <c r="V22" s="42" t="s">
        <v>188</v>
      </c>
      <c r="AP22" s="39" t="s">
        <v>196</v>
      </c>
      <c r="AQ22" s="39">
        <v>231453</v>
      </c>
      <c r="AR22" s="39">
        <v>1</v>
      </c>
      <c r="AS22" s="39">
        <v>4</v>
      </c>
      <c r="AT22" s="41">
        <v>46104.335416666669</v>
      </c>
      <c r="AU22" s="42" t="s">
        <v>63</v>
      </c>
    </row>
    <row r="23" spans="1:47" ht="13.5" customHeight="1" x14ac:dyDescent="0.2">
      <c r="A23" s="20" t="s">
        <v>85</v>
      </c>
      <c r="B23" s="20"/>
      <c r="C23" s="20"/>
      <c r="D23" s="20"/>
      <c r="E23" s="21">
        <v>231453</v>
      </c>
      <c r="F23" s="22">
        <v>2</v>
      </c>
      <c r="G23" s="22">
        <v>2</v>
      </c>
      <c r="H23" s="23" t="s">
        <v>25</v>
      </c>
      <c r="I23" s="20" t="s">
        <v>24</v>
      </c>
      <c r="J23" s="20"/>
      <c r="P23" s="39" t="s">
        <v>197</v>
      </c>
      <c r="Q23" s="39">
        <v>231453</v>
      </c>
      <c r="R23" s="39">
        <v>2</v>
      </c>
      <c r="S23" s="40">
        <v>1</v>
      </c>
      <c r="T23" s="52">
        <v>46104.351388888892</v>
      </c>
      <c r="U23" s="43" t="s">
        <v>198</v>
      </c>
      <c r="V23" s="42" t="s">
        <v>188</v>
      </c>
      <c r="AP23" s="39" t="s">
        <v>197</v>
      </c>
      <c r="AQ23" s="39">
        <v>231453</v>
      </c>
      <c r="AR23" s="39">
        <v>2</v>
      </c>
      <c r="AS23" s="39">
        <v>1</v>
      </c>
      <c r="AT23" s="41">
        <v>46104.351388888892</v>
      </c>
      <c r="AU23" s="43" t="s">
        <v>198</v>
      </c>
    </row>
    <row r="24" spans="1:47" ht="13.5" customHeight="1" x14ac:dyDescent="0.2">
      <c r="A24" s="20" t="s">
        <v>86</v>
      </c>
      <c r="B24" s="20"/>
      <c r="C24" s="20"/>
      <c r="D24" s="20"/>
      <c r="E24" s="21">
        <v>231454</v>
      </c>
      <c r="F24" s="22">
        <v>1</v>
      </c>
      <c r="G24" s="22">
        <v>2</v>
      </c>
      <c r="H24" s="23" t="s">
        <v>23</v>
      </c>
      <c r="I24" s="20" t="s">
        <v>24</v>
      </c>
      <c r="J24" s="20"/>
      <c r="P24" s="39" t="s">
        <v>199</v>
      </c>
      <c r="Q24" s="39">
        <v>231454</v>
      </c>
      <c r="R24" s="39">
        <v>1</v>
      </c>
      <c r="S24" s="40">
        <v>2</v>
      </c>
      <c r="T24" s="52">
        <v>46104.348611111112</v>
      </c>
      <c r="U24" s="42" t="s">
        <v>63</v>
      </c>
      <c r="V24" s="42" t="s">
        <v>188</v>
      </c>
      <c r="AP24" s="39" t="s">
        <v>199</v>
      </c>
      <c r="AQ24" s="39">
        <v>231454</v>
      </c>
      <c r="AR24" s="39">
        <v>1</v>
      </c>
      <c r="AS24" s="39">
        <v>2</v>
      </c>
      <c r="AT24" s="41">
        <v>46104.335416666669</v>
      </c>
      <c r="AU24" s="42" t="s">
        <v>63</v>
      </c>
    </row>
    <row r="25" spans="1:47" ht="13.5" customHeight="1" x14ac:dyDescent="0.2">
      <c r="A25" s="20" t="s">
        <v>86</v>
      </c>
      <c r="B25" s="20"/>
      <c r="C25" s="20"/>
      <c r="D25" s="20"/>
      <c r="E25" s="21">
        <v>231454</v>
      </c>
      <c r="F25" s="22">
        <v>2</v>
      </c>
      <c r="G25" s="22">
        <v>4</v>
      </c>
      <c r="H25" s="23" t="s">
        <v>25</v>
      </c>
      <c r="I25" s="20" t="s">
        <v>24</v>
      </c>
      <c r="J25" s="20"/>
      <c r="P25" s="39" t="s">
        <v>200</v>
      </c>
      <c r="Q25" s="39">
        <v>231454</v>
      </c>
      <c r="R25" s="39">
        <v>2</v>
      </c>
      <c r="S25" s="40">
        <v>4</v>
      </c>
      <c r="T25" s="52">
        <v>46104.353472222225</v>
      </c>
      <c r="U25" s="42" t="s">
        <v>63</v>
      </c>
      <c r="V25" s="42" t="s">
        <v>188</v>
      </c>
      <c r="AP25" s="39" t="s">
        <v>200</v>
      </c>
      <c r="AQ25" s="39">
        <v>231454</v>
      </c>
      <c r="AR25" s="39">
        <v>2</v>
      </c>
      <c r="AS25" s="39">
        <v>4</v>
      </c>
      <c r="AT25" s="41">
        <v>46104.336111111108</v>
      </c>
      <c r="AU25" s="42" t="s">
        <v>63</v>
      </c>
    </row>
    <row r="26" spans="1:47" ht="13.5" customHeight="1" x14ac:dyDescent="0.2">
      <c r="A26" s="20" t="s">
        <v>87</v>
      </c>
      <c r="B26" s="20"/>
      <c r="C26" s="20"/>
      <c r="D26" s="20"/>
      <c r="E26" s="21">
        <v>231455</v>
      </c>
      <c r="F26" s="22">
        <v>1</v>
      </c>
      <c r="G26" s="22">
        <v>4</v>
      </c>
      <c r="H26" s="23" t="s">
        <v>25</v>
      </c>
      <c r="I26" s="20" t="s">
        <v>24</v>
      </c>
      <c r="J26" s="20"/>
      <c r="P26" s="39" t="s">
        <v>201</v>
      </c>
      <c r="Q26" s="39">
        <v>231455</v>
      </c>
      <c r="R26" s="39">
        <v>1</v>
      </c>
      <c r="S26" s="40">
        <v>4</v>
      </c>
      <c r="T26" s="52">
        <v>46104.352777777778</v>
      </c>
      <c r="U26" s="42" t="s">
        <v>63</v>
      </c>
      <c r="V26" s="42" t="s">
        <v>188</v>
      </c>
      <c r="AP26" s="39" t="s">
        <v>201</v>
      </c>
      <c r="AQ26" s="39">
        <v>231455</v>
      </c>
      <c r="AR26" s="39">
        <v>1</v>
      </c>
      <c r="AS26" s="39">
        <v>4</v>
      </c>
      <c r="AT26" s="41">
        <v>46104.334722222222</v>
      </c>
      <c r="AU26" s="42" t="s">
        <v>63</v>
      </c>
    </row>
    <row r="27" spans="1:47" ht="13.5" customHeight="1" x14ac:dyDescent="0.2">
      <c r="A27" s="20" t="s">
        <v>88</v>
      </c>
      <c r="B27" s="20"/>
      <c r="C27" s="20"/>
      <c r="D27" s="20"/>
      <c r="E27" s="21">
        <v>231457</v>
      </c>
      <c r="F27" s="22">
        <v>1</v>
      </c>
      <c r="G27" s="22">
        <v>1</v>
      </c>
      <c r="H27" s="23" t="s">
        <v>89</v>
      </c>
      <c r="I27" s="20" t="s">
        <v>26</v>
      </c>
      <c r="J27" s="20"/>
      <c r="P27" s="39" t="s">
        <v>202</v>
      </c>
      <c r="Q27" s="39">
        <v>231457</v>
      </c>
      <c r="R27" s="39">
        <v>1</v>
      </c>
      <c r="S27" s="40">
        <v>1</v>
      </c>
      <c r="T27" s="52">
        <v>46104.38958333333</v>
      </c>
      <c r="U27" s="42" t="s">
        <v>63</v>
      </c>
      <c r="V27" s="42" t="s">
        <v>188</v>
      </c>
      <c r="AP27" s="39" t="s">
        <v>202</v>
      </c>
      <c r="AQ27" s="39">
        <v>231457</v>
      </c>
      <c r="AR27" s="39">
        <v>1</v>
      </c>
      <c r="AS27" s="39">
        <v>1</v>
      </c>
      <c r="AT27" s="41">
        <v>46104.38958333333</v>
      </c>
      <c r="AU27" s="42" t="s">
        <v>63</v>
      </c>
    </row>
    <row r="28" spans="1:47" ht="13.5" customHeight="1" x14ac:dyDescent="0.2">
      <c r="A28" s="20" t="s">
        <v>88</v>
      </c>
      <c r="B28" s="20"/>
      <c r="C28" s="20"/>
      <c r="D28" s="20"/>
      <c r="E28" s="21">
        <v>231457</v>
      </c>
      <c r="F28" s="22">
        <v>2</v>
      </c>
      <c r="G28" s="22">
        <v>1</v>
      </c>
      <c r="H28" s="23" t="s">
        <v>90</v>
      </c>
      <c r="I28" s="20" t="s">
        <v>26</v>
      </c>
      <c r="J28" s="20"/>
      <c r="P28" s="39" t="s">
        <v>203</v>
      </c>
      <c r="Q28" s="39">
        <v>231457</v>
      </c>
      <c r="R28" s="39">
        <v>2</v>
      </c>
      <c r="S28" s="40">
        <v>1</v>
      </c>
      <c r="T28" s="52">
        <v>46104.39166666667</v>
      </c>
      <c r="U28" s="42" t="s">
        <v>63</v>
      </c>
      <c r="V28" s="42" t="s">
        <v>188</v>
      </c>
      <c r="AP28" s="39" t="s">
        <v>203</v>
      </c>
      <c r="AQ28" s="39">
        <v>231457</v>
      </c>
      <c r="AR28" s="39">
        <v>2</v>
      </c>
      <c r="AS28" s="39">
        <v>1</v>
      </c>
      <c r="AT28" s="41">
        <v>46104.39166666667</v>
      </c>
      <c r="AU28" s="42" t="s">
        <v>63</v>
      </c>
    </row>
    <row r="29" spans="1:47" ht="13.5" customHeight="1" x14ac:dyDescent="0.2">
      <c r="A29" s="20" t="s">
        <v>91</v>
      </c>
      <c r="B29" s="20"/>
      <c r="C29" s="20"/>
      <c r="D29" s="20"/>
      <c r="E29" s="21">
        <v>231458</v>
      </c>
      <c r="F29" s="22">
        <v>1</v>
      </c>
      <c r="G29" s="22">
        <v>1</v>
      </c>
      <c r="H29" s="23" t="s">
        <v>53</v>
      </c>
      <c r="I29" s="20" t="s">
        <v>26</v>
      </c>
      <c r="J29" s="20"/>
      <c r="P29" s="39" t="s">
        <v>204</v>
      </c>
      <c r="Q29" s="39">
        <v>231458</v>
      </c>
      <c r="R29" s="39">
        <v>1</v>
      </c>
      <c r="S29" s="40">
        <v>1</v>
      </c>
      <c r="T29" s="52">
        <v>46104.390972222223</v>
      </c>
      <c r="U29" s="42" t="s">
        <v>63</v>
      </c>
      <c r="V29" s="42" t="s">
        <v>188</v>
      </c>
      <c r="AP29" s="39" t="s">
        <v>204</v>
      </c>
      <c r="AQ29" s="39">
        <v>231458</v>
      </c>
      <c r="AR29" s="39">
        <v>1</v>
      </c>
      <c r="AS29" s="39">
        <v>1</v>
      </c>
      <c r="AT29" s="41">
        <v>46104.390972222223</v>
      </c>
      <c r="AU29" s="42" t="s">
        <v>63</v>
      </c>
    </row>
    <row r="30" spans="1:47" ht="13.5" customHeight="1" x14ac:dyDescent="0.2">
      <c r="A30" s="20" t="s">
        <v>91</v>
      </c>
      <c r="B30" s="20"/>
      <c r="C30" s="20"/>
      <c r="D30" s="20"/>
      <c r="E30" s="21">
        <v>231458</v>
      </c>
      <c r="F30" s="22">
        <v>2</v>
      </c>
      <c r="G30" s="22">
        <v>1</v>
      </c>
      <c r="H30" s="23" t="s">
        <v>43</v>
      </c>
      <c r="I30" s="20" t="s">
        <v>26</v>
      </c>
      <c r="J30" s="20"/>
      <c r="P30" s="39" t="s">
        <v>205</v>
      </c>
      <c r="Q30" s="39">
        <v>231458</v>
      </c>
      <c r="R30" s="39">
        <v>2</v>
      </c>
      <c r="S30" s="40">
        <v>1</v>
      </c>
      <c r="T30" s="52">
        <v>46104.39166666667</v>
      </c>
      <c r="U30" s="42" t="s">
        <v>63</v>
      </c>
      <c r="V30" s="42" t="s">
        <v>188</v>
      </c>
      <c r="AP30" s="39" t="s">
        <v>205</v>
      </c>
      <c r="AQ30" s="39">
        <v>231458</v>
      </c>
      <c r="AR30" s="39">
        <v>2</v>
      </c>
      <c r="AS30" s="39">
        <v>1</v>
      </c>
      <c r="AT30" s="41">
        <v>46104.39166666667</v>
      </c>
      <c r="AU30" s="42" t="s">
        <v>63</v>
      </c>
    </row>
    <row r="31" spans="1:47" ht="13.5" customHeight="1" x14ac:dyDescent="0.2">
      <c r="A31" s="20" t="s">
        <v>92</v>
      </c>
      <c r="B31" s="20"/>
      <c r="C31" s="20"/>
      <c r="D31" s="20"/>
      <c r="E31" s="21">
        <v>231459</v>
      </c>
      <c r="F31" s="22">
        <v>1</v>
      </c>
      <c r="G31" s="22">
        <v>2</v>
      </c>
      <c r="H31" s="23" t="s">
        <v>53</v>
      </c>
      <c r="I31" s="20" t="s">
        <v>26</v>
      </c>
      <c r="J31" s="20"/>
      <c r="P31" s="39" t="s">
        <v>206</v>
      </c>
      <c r="Q31" s="39">
        <v>231459</v>
      </c>
      <c r="R31" s="39">
        <v>1</v>
      </c>
      <c r="S31" s="40">
        <v>2</v>
      </c>
      <c r="T31" s="52">
        <v>46104.390277777777</v>
      </c>
      <c r="U31" s="42" t="s">
        <v>63</v>
      </c>
      <c r="V31" s="42" t="s">
        <v>188</v>
      </c>
      <c r="AP31" s="39" t="s">
        <v>206</v>
      </c>
      <c r="AQ31" s="39">
        <v>231459</v>
      </c>
      <c r="AR31" s="39">
        <v>1</v>
      </c>
      <c r="AS31" s="39">
        <v>2</v>
      </c>
      <c r="AT31" s="41">
        <v>46104.390277777777</v>
      </c>
      <c r="AU31" s="42" t="s">
        <v>63</v>
      </c>
    </row>
    <row r="32" spans="1:47" ht="13.5" customHeight="1" x14ac:dyDescent="0.2">
      <c r="A32" s="20" t="s">
        <v>93</v>
      </c>
      <c r="B32" s="20"/>
      <c r="C32" s="20"/>
      <c r="D32" s="20"/>
      <c r="E32" s="21">
        <v>231461</v>
      </c>
      <c r="F32" s="22">
        <v>1</v>
      </c>
      <c r="G32" s="22">
        <v>1</v>
      </c>
      <c r="H32" s="23" t="s">
        <v>94</v>
      </c>
      <c r="I32" s="20" t="s">
        <v>52</v>
      </c>
      <c r="J32" s="20"/>
      <c r="P32" s="39" t="s">
        <v>207</v>
      </c>
      <c r="Q32" s="39">
        <v>231461</v>
      </c>
      <c r="R32" s="39">
        <v>1</v>
      </c>
      <c r="S32" s="40">
        <v>1</v>
      </c>
      <c r="T32" s="52">
        <v>46104.34652777778</v>
      </c>
      <c r="U32" s="42" t="s">
        <v>63</v>
      </c>
      <c r="V32" s="42" t="s">
        <v>188</v>
      </c>
      <c r="AP32" s="39" t="s">
        <v>207</v>
      </c>
      <c r="AQ32" s="39">
        <v>231461</v>
      </c>
      <c r="AR32" s="39">
        <v>1</v>
      </c>
      <c r="AS32" s="39">
        <v>1</v>
      </c>
      <c r="AT32" s="41">
        <v>46104.345833333333</v>
      </c>
      <c r="AU32" s="42" t="s">
        <v>63</v>
      </c>
    </row>
    <row r="33" spans="1:47" ht="13.5" customHeight="1" x14ac:dyDescent="0.2">
      <c r="A33" s="20" t="s">
        <v>93</v>
      </c>
      <c r="B33" s="20"/>
      <c r="C33" s="20"/>
      <c r="D33" s="20"/>
      <c r="E33" s="21">
        <v>231461</v>
      </c>
      <c r="F33" s="22">
        <v>2</v>
      </c>
      <c r="G33" s="22">
        <v>1</v>
      </c>
      <c r="H33" s="23" t="s">
        <v>48</v>
      </c>
      <c r="I33" s="20" t="s">
        <v>52</v>
      </c>
      <c r="J33" s="20"/>
      <c r="P33" s="39" t="s">
        <v>208</v>
      </c>
      <c r="Q33" s="39">
        <v>231461</v>
      </c>
      <c r="R33" s="39">
        <v>2</v>
      </c>
      <c r="S33" s="40">
        <v>1</v>
      </c>
      <c r="T33" s="52">
        <v>46104.388888888891</v>
      </c>
      <c r="U33" s="42" t="s">
        <v>63</v>
      </c>
      <c r="V33" s="42" t="s">
        <v>188</v>
      </c>
      <c r="AP33" s="39" t="s">
        <v>208</v>
      </c>
      <c r="AQ33" s="39">
        <v>231461</v>
      </c>
      <c r="AR33" s="39">
        <v>2</v>
      </c>
      <c r="AS33" s="39">
        <v>1</v>
      </c>
      <c r="AT33" s="41">
        <v>46104.388888888891</v>
      </c>
      <c r="AU33" s="42" t="s">
        <v>63</v>
      </c>
    </row>
    <row r="34" spans="1:47" ht="13.5" customHeight="1" x14ac:dyDescent="0.2">
      <c r="A34" s="20" t="s">
        <v>95</v>
      </c>
      <c r="B34" s="20"/>
      <c r="C34" s="20"/>
      <c r="D34" s="20"/>
      <c r="E34" s="21">
        <v>231462</v>
      </c>
      <c r="F34" s="22">
        <v>1</v>
      </c>
      <c r="G34" s="22">
        <v>1</v>
      </c>
      <c r="H34" s="23" t="s">
        <v>44</v>
      </c>
      <c r="I34" s="20" t="s">
        <v>96</v>
      </c>
      <c r="J34" s="20"/>
      <c r="P34" s="39" t="s">
        <v>209</v>
      </c>
      <c r="Q34" s="39">
        <v>231462</v>
      </c>
      <c r="R34" s="39">
        <v>1</v>
      </c>
      <c r="S34" s="40">
        <v>1</v>
      </c>
      <c r="T34" s="52">
        <v>46104.347222222219</v>
      </c>
      <c r="U34" s="42" t="s">
        <v>63</v>
      </c>
      <c r="V34" s="42" t="s">
        <v>188</v>
      </c>
      <c r="AP34" s="39" t="s">
        <v>209</v>
      </c>
      <c r="AQ34" s="39">
        <v>231462</v>
      </c>
      <c r="AR34" s="39">
        <v>1</v>
      </c>
      <c r="AS34" s="39">
        <v>1</v>
      </c>
      <c r="AT34" s="41">
        <v>46104.345833333333</v>
      </c>
      <c r="AU34" s="42" t="s">
        <v>63</v>
      </c>
    </row>
    <row r="35" spans="1:47" ht="13.5" customHeight="1" x14ac:dyDescent="0.2">
      <c r="A35" s="20" t="s">
        <v>95</v>
      </c>
      <c r="B35" s="20"/>
      <c r="C35" s="20"/>
      <c r="D35" s="20"/>
      <c r="E35" s="21">
        <v>231462</v>
      </c>
      <c r="F35" s="22">
        <v>2</v>
      </c>
      <c r="G35" s="22">
        <v>1</v>
      </c>
      <c r="H35" s="23" t="s">
        <v>51</v>
      </c>
      <c r="I35" s="20" t="s">
        <v>96</v>
      </c>
      <c r="J35" s="20"/>
      <c r="P35" s="39" t="s">
        <v>210</v>
      </c>
      <c r="Q35" s="39">
        <v>231462</v>
      </c>
      <c r="R35" s="39">
        <v>2</v>
      </c>
      <c r="S35" s="40">
        <v>1</v>
      </c>
      <c r="T35" s="52">
        <v>46104.393750000003</v>
      </c>
      <c r="U35" s="42" t="s">
        <v>63</v>
      </c>
      <c r="V35" s="42" t="s">
        <v>188</v>
      </c>
      <c r="AP35" s="39" t="s">
        <v>210</v>
      </c>
      <c r="AQ35" s="39">
        <v>231462</v>
      </c>
      <c r="AR35" s="39">
        <v>2</v>
      </c>
      <c r="AS35" s="39">
        <v>1</v>
      </c>
      <c r="AT35" s="41">
        <v>46104.393750000003</v>
      </c>
      <c r="AU35" s="42" t="s">
        <v>63</v>
      </c>
    </row>
    <row r="36" spans="1:47" ht="13.5" customHeight="1" x14ac:dyDescent="0.2">
      <c r="A36" s="20" t="s">
        <v>95</v>
      </c>
      <c r="B36" s="20"/>
      <c r="C36" s="20"/>
      <c r="D36" s="20"/>
      <c r="E36" s="21">
        <v>231462</v>
      </c>
      <c r="F36" s="22">
        <v>3</v>
      </c>
      <c r="G36" s="22">
        <v>1</v>
      </c>
      <c r="H36" s="23" t="s">
        <v>97</v>
      </c>
      <c r="I36" s="20" t="s">
        <v>96</v>
      </c>
      <c r="J36" s="20"/>
      <c r="P36" s="39" t="s">
        <v>211</v>
      </c>
      <c r="Q36" s="39">
        <v>231462</v>
      </c>
      <c r="R36" s="39">
        <v>3</v>
      </c>
      <c r="S36" s="40">
        <v>1</v>
      </c>
      <c r="T36" s="52">
        <v>46104.393055555556</v>
      </c>
      <c r="U36" s="42" t="s">
        <v>63</v>
      </c>
      <c r="V36" s="42" t="s">
        <v>188</v>
      </c>
      <c r="AP36" s="39" t="s">
        <v>211</v>
      </c>
      <c r="AQ36" s="39">
        <v>231462</v>
      </c>
      <c r="AR36" s="39">
        <v>3</v>
      </c>
      <c r="AS36" s="39">
        <v>1</v>
      </c>
      <c r="AT36" s="41">
        <v>46104.392361111109</v>
      </c>
      <c r="AU36" s="42" t="s">
        <v>63</v>
      </c>
    </row>
    <row r="37" spans="1:47" ht="13.5" customHeight="1" x14ac:dyDescent="0.2">
      <c r="A37" s="20" t="s">
        <v>98</v>
      </c>
      <c r="B37" s="20"/>
      <c r="C37" s="20"/>
      <c r="D37" s="20"/>
      <c r="E37" s="21">
        <v>231463</v>
      </c>
      <c r="F37" s="22">
        <v>1</v>
      </c>
      <c r="G37" s="22">
        <v>1</v>
      </c>
      <c r="H37" s="23" t="s">
        <v>94</v>
      </c>
      <c r="I37" s="20" t="s">
        <v>52</v>
      </c>
      <c r="J37" s="20"/>
      <c r="P37" s="39" t="s">
        <v>212</v>
      </c>
      <c r="Q37" s="39">
        <v>231463</v>
      </c>
      <c r="R37" s="39">
        <v>1</v>
      </c>
      <c r="S37" s="40">
        <v>1</v>
      </c>
      <c r="T37" s="52">
        <v>46104.347222222219</v>
      </c>
      <c r="U37" s="42" t="s">
        <v>63</v>
      </c>
      <c r="V37" s="42" t="s">
        <v>188</v>
      </c>
      <c r="AP37" s="39" t="s">
        <v>212</v>
      </c>
      <c r="AQ37" s="39">
        <v>231463</v>
      </c>
      <c r="AR37" s="39">
        <v>1</v>
      </c>
      <c r="AS37" s="39">
        <v>1</v>
      </c>
      <c r="AT37" s="41">
        <v>46104.345833333333</v>
      </c>
      <c r="AU37" s="42" t="s">
        <v>63</v>
      </c>
    </row>
    <row r="38" spans="1:47" ht="13.5" customHeight="1" x14ac:dyDescent="0.2">
      <c r="A38" s="20" t="s">
        <v>98</v>
      </c>
      <c r="B38" s="20"/>
      <c r="C38" s="20"/>
      <c r="D38" s="20"/>
      <c r="E38" s="21">
        <v>231463</v>
      </c>
      <c r="F38" s="22">
        <v>2</v>
      </c>
      <c r="G38" s="22">
        <v>1</v>
      </c>
      <c r="H38" s="23" t="s">
        <v>97</v>
      </c>
      <c r="I38" s="20" t="s">
        <v>52</v>
      </c>
      <c r="J38" s="20"/>
      <c r="P38" s="39" t="s">
        <v>213</v>
      </c>
      <c r="Q38" s="39">
        <v>231463</v>
      </c>
      <c r="R38" s="39">
        <v>2</v>
      </c>
      <c r="S38" s="40">
        <v>1</v>
      </c>
      <c r="T38" s="52">
        <v>46104.393750000003</v>
      </c>
      <c r="U38" s="42" t="s">
        <v>63</v>
      </c>
      <c r="V38" s="42" t="s">
        <v>188</v>
      </c>
      <c r="AP38" s="39" t="s">
        <v>213</v>
      </c>
      <c r="AQ38" s="39">
        <v>231463</v>
      </c>
      <c r="AR38" s="39">
        <v>2</v>
      </c>
      <c r="AS38" s="39">
        <v>1</v>
      </c>
      <c r="AT38" s="41">
        <v>46104.393055555556</v>
      </c>
      <c r="AU38" s="42" t="s">
        <v>63</v>
      </c>
    </row>
    <row r="39" spans="1:47" ht="13.5" customHeight="1" x14ac:dyDescent="0.2">
      <c r="A39" s="20" t="s">
        <v>99</v>
      </c>
      <c r="B39" s="20"/>
      <c r="C39" s="20"/>
      <c r="D39" s="20"/>
      <c r="E39" s="21">
        <v>231464</v>
      </c>
      <c r="F39" s="22">
        <v>1</v>
      </c>
      <c r="G39" s="22">
        <v>1</v>
      </c>
      <c r="H39" s="23" t="s">
        <v>94</v>
      </c>
      <c r="I39" s="20" t="s">
        <v>45</v>
      </c>
      <c r="J39" s="20"/>
      <c r="P39" s="39" t="s">
        <v>214</v>
      </c>
      <c r="Q39" s="39">
        <v>231464</v>
      </c>
      <c r="R39" s="39">
        <v>1</v>
      </c>
      <c r="S39" s="40">
        <v>1</v>
      </c>
      <c r="T39" s="52">
        <v>46104.34652777778</v>
      </c>
      <c r="U39" s="42" t="s">
        <v>63</v>
      </c>
      <c r="V39" s="42" t="s">
        <v>188</v>
      </c>
      <c r="AP39" s="39" t="s">
        <v>214</v>
      </c>
      <c r="AQ39" s="39">
        <v>231464</v>
      </c>
      <c r="AR39" s="39">
        <v>1</v>
      </c>
      <c r="AS39" s="39">
        <v>1</v>
      </c>
      <c r="AT39" s="41">
        <v>46104.345833333333</v>
      </c>
      <c r="AU39" s="42" t="s">
        <v>63</v>
      </c>
    </row>
    <row r="40" spans="1:47" ht="13.5" customHeight="1" x14ac:dyDescent="0.2">
      <c r="A40" s="20" t="s">
        <v>100</v>
      </c>
      <c r="B40" s="20"/>
      <c r="C40" s="20"/>
      <c r="D40" s="20"/>
      <c r="E40" s="21">
        <v>231465</v>
      </c>
      <c r="F40" s="22">
        <v>1</v>
      </c>
      <c r="G40" s="22">
        <v>4</v>
      </c>
      <c r="H40" s="23" t="s">
        <v>25</v>
      </c>
      <c r="I40" s="20" t="s">
        <v>24</v>
      </c>
      <c r="J40" s="20"/>
      <c r="P40" s="39" t="s">
        <v>215</v>
      </c>
      <c r="Q40" s="39">
        <v>231465</v>
      </c>
      <c r="R40" s="39">
        <v>1</v>
      </c>
      <c r="S40" s="40">
        <v>4</v>
      </c>
      <c r="T40" s="52">
        <v>46104.415277777778</v>
      </c>
      <c r="U40" s="42" t="s">
        <v>63</v>
      </c>
      <c r="V40" s="42" t="s">
        <v>188</v>
      </c>
      <c r="AP40" s="39" t="s">
        <v>215</v>
      </c>
      <c r="AQ40" s="39">
        <v>231465</v>
      </c>
      <c r="AR40" s="39">
        <v>1</v>
      </c>
      <c r="AS40" s="39">
        <v>4</v>
      </c>
      <c r="AT40" s="41">
        <v>46104.334027777775</v>
      </c>
      <c r="AU40" s="42" t="s">
        <v>63</v>
      </c>
    </row>
    <row r="41" spans="1:47" ht="13.5" customHeight="1" x14ac:dyDescent="0.2">
      <c r="A41" s="20" t="s">
        <v>101</v>
      </c>
      <c r="B41" s="20"/>
      <c r="C41" s="20"/>
      <c r="D41" s="20"/>
      <c r="E41" s="21">
        <v>231466</v>
      </c>
      <c r="F41" s="22">
        <v>1</v>
      </c>
      <c r="G41" s="22">
        <v>1</v>
      </c>
      <c r="H41" s="23" t="s">
        <v>102</v>
      </c>
      <c r="I41" s="20" t="s">
        <v>103</v>
      </c>
      <c r="J41" s="20"/>
      <c r="P41" s="39" t="s">
        <v>216</v>
      </c>
      <c r="Q41" s="39">
        <v>231466</v>
      </c>
      <c r="R41" s="39">
        <v>1</v>
      </c>
      <c r="S41" s="40">
        <v>1</v>
      </c>
      <c r="T41" s="52">
        <v>46104.352083333331</v>
      </c>
      <c r="U41" s="42" t="s">
        <v>63</v>
      </c>
      <c r="V41" s="42" t="s">
        <v>188</v>
      </c>
      <c r="AP41" s="39" t="s">
        <v>216</v>
      </c>
      <c r="AQ41" s="39">
        <v>231466</v>
      </c>
      <c r="AR41" s="39">
        <v>1</v>
      </c>
      <c r="AS41" s="39">
        <v>1</v>
      </c>
      <c r="AT41" s="41">
        <v>46104.334722222222</v>
      </c>
      <c r="AU41" s="42" t="s">
        <v>63</v>
      </c>
    </row>
    <row r="42" spans="1:47" ht="13.5" customHeight="1" x14ac:dyDescent="0.2">
      <c r="A42" s="20" t="s">
        <v>101</v>
      </c>
      <c r="B42" s="20"/>
      <c r="C42" s="20"/>
      <c r="D42" s="20"/>
      <c r="E42" s="21">
        <v>231466</v>
      </c>
      <c r="F42" s="22">
        <v>2</v>
      </c>
      <c r="G42" s="22">
        <v>1</v>
      </c>
      <c r="H42" s="23" t="s">
        <v>104</v>
      </c>
      <c r="I42" s="20" t="s">
        <v>103</v>
      </c>
      <c r="J42" s="20"/>
      <c r="P42" s="39" t="s">
        <v>217</v>
      </c>
      <c r="Q42" s="39">
        <v>231466</v>
      </c>
      <c r="R42" s="39">
        <v>2</v>
      </c>
      <c r="S42" s="40">
        <v>1</v>
      </c>
      <c r="T42" s="52">
        <v>46104.393055555556</v>
      </c>
      <c r="U42" s="42" t="s">
        <v>63</v>
      </c>
      <c r="V42" s="42" t="s">
        <v>188</v>
      </c>
      <c r="AP42" s="39" t="s">
        <v>217</v>
      </c>
      <c r="AQ42" s="39">
        <v>231466</v>
      </c>
      <c r="AR42" s="39">
        <v>2</v>
      </c>
      <c r="AS42" s="39">
        <v>1</v>
      </c>
      <c r="AT42" s="41">
        <v>46104.393055555556</v>
      </c>
      <c r="AU42" s="42" t="s">
        <v>63</v>
      </c>
    </row>
    <row r="43" spans="1:47" ht="13.5" customHeight="1" x14ac:dyDescent="0.2">
      <c r="A43" s="20" t="s">
        <v>101</v>
      </c>
      <c r="B43" s="20"/>
      <c r="C43" s="20"/>
      <c r="D43" s="20"/>
      <c r="E43" s="21">
        <v>231466</v>
      </c>
      <c r="F43" s="22">
        <v>3</v>
      </c>
      <c r="G43" s="22">
        <v>1</v>
      </c>
      <c r="H43" s="23" t="s">
        <v>105</v>
      </c>
      <c r="I43" s="20" t="s">
        <v>103</v>
      </c>
      <c r="J43" s="20"/>
      <c r="P43" s="39" t="s">
        <v>218</v>
      </c>
      <c r="Q43" s="39">
        <v>231466</v>
      </c>
      <c r="R43" s="39">
        <v>3</v>
      </c>
      <c r="S43" s="40">
        <v>1</v>
      </c>
      <c r="T43" s="52">
        <v>46104.413194444445</v>
      </c>
      <c r="U43" s="42" t="s">
        <v>63</v>
      </c>
      <c r="V43" s="42" t="s">
        <v>188</v>
      </c>
      <c r="AP43" s="39" t="s">
        <v>218</v>
      </c>
      <c r="AQ43" s="39">
        <v>231466</v>
      </c>
      <c r="AR43" s="39">
        <v>3</v>
      </c>
      <c r="AS43" s="39">
        <v>1</v>
      </c>
      <c r="AT43" s="41">
        <v>46104.413194444445</v>
      </c>
      <c r="AU43" s="42" t="s">
        <v>63</v>
      </c>
    </row>
    <row r="44" spans="1:47" ht="13.5" customHeight="1" x14ac:dyDescent="0.2">
      <c r="A44" s="20" t="s">
        <v>106</v>
      </c>
      <c r="B44" s="20"/>
      <c r="C44" s="20"/>
      <c r="D44" s="20"/>
      <c r="E44" s="21">
        <v>231467</v>
      </c>
      <c r="F44" s="22">
        <v>1</v>
      </c>
      <c r="G44" s="22">
        <v>1</v>
      </c>
      <c r="H44" s="23" t="s">
        <v>102</v>
      </c>
      <c r="I44" s="20" t="s">
        <v>103</v>
      </c>
      <c r="J44" s="20"/>
      <c r="P44" s="39" t="s">
        <v>219</v>
      </c>
      <c r="Q44" s="39">
        <v>231467</v>
      </c>
      <c r="R44" s="39">
        <v>1</v>
      </c>
      <c r="S44" s="40">
        <v>1</v>
      </c>
      <c r="T44" s="52">
        <v>46104.352083333331</v>
      </c>
      <c r="U44" s="42" t="s">
        <v>63</v>
      </c>
      <c r="V44" s="42" t="s">
        <v>188</v>
      </c>
      <c r="AP44" s="39" t="s">
        <v>219</v>
      </c>
      <c r="AQ44" s="39">
        <v>231467</v>
      </c>
      <c r="AR44" s="39">
        <v>1</v>
      </c>
      <c r="AS44" s="39">
        <v>1</v>
      </c>
      <c r="AT44" s="41">
        <v>46104.334722222222</v>
      </c>
      <c r="AU44" s="42" t="s">
        <v>63</v>
      </c>
    </row>
    <row r="45" spans="1:47" ht="13.5" customHeight="1" x14ac:dyDescent="0.2">
      <c r="A45" s="20" t="s">
        <v>106</v>
      </c>
      <c r="B45" s="20"/>
      <c r="C45" s="20"/>
      <c r="D45" s="20"/>
      <c r="E45" s="21">
        <v>231467</v>
      </c>
      <c r="F45" s="22">
        <v>2</v>
      </c>
      <c r="G45" s="22">
        <v>1</v>
      </c>
      <c r="H45" s="23" t="s">
        <v>104</v>
      </c>
      <c r="I45" s="20" t="s">
        <v>103</v>
      </c>
      <c r="J45" s="20"/>
      <c r="P45" s="39" t="s">
        <v>220</v>
      </c>
      <c r="Q45" s="39">
        <v>231467</v>
      </c>
      <c r="R45" s="39">
        <v>2</v>
      </c>
      <c r="S45" s="40">
        <v>1</v>
      </c>
      <c r="T45" s="52">
        <v>46104.393750000003</v>
      </c>
      <c r="U45" s="42" t="s">
        <v>63</v>
      </c>
      <c r="V45" s="42" t="s">
        <v>188</v>
      </c>
      <c r="AP45" s="39" t="s">
        <v>220</v>
      </c>
      <c r="AQ45" s="39">
        <v>231467</v>
      </c>
      <c r="AR45" s="39">
        <v>2</v>
      </c>
      <c r="AS45" s="39">
        <v>1</v>
      </c>
      <c r="AT45" s="41">
        <v>46104.393750000003</v>
      </c>
      <c r="AU45" s="42" t="s">
        <v>63</v>
      </c>
    </row>
    <row r="46" spans="1:47" ht="13.5" customHeight="1" x14ac:dyDescent="0.2">
      <c r="A46" s="20" t="s">
        <v>106</v>
      </c>
      <c r="B46" s="20"/>
      <c r="C46" s="20"/>
      <c r="D46" s="20"/>
      <c r="E46" s="21">
        <v>231467</v>
      </c>
      <c r="F46" s="22">
        <v>3</v>
      </c>
      <c r="G46" s="22">
        <v>1</v>
      </c>
      <c r="H46" s="23" t="s">
        <v>107</v>
      </c>
      <c r="I46" s="20" t="s">
        <v>103</v>
      </c>
      <c r="J46" s="20"/>
      <c r="P46" s="39" t="s">
        <v>221</v>
      </c>
      <c r="Q46" s="39">
        <v>231467</v>
      </c>
      <c r="R46" s="39">
        <v>3</v>
      </c>
      <c r="S46" s="40">
        <v>1</v>
      </c>
      <c r="T46" s="52">
        <v>46104.413194444445</v>
      </c>
      <c r="U46" s="42" t="s">
        <v>63</v>
      </c>
      <c r="V46" s="42" t="s">
        <v>188</v>
      </c>
      <c r="AP46" s="39" t="s">
        <v>221</v>
      </c>
      <c r="AQ46" s="39">
        <v>231467</v>
      </c>
      <c r="AR46" s="39">
        <v>3</v>
      </c>
      <c r="AS46" s="39">
        <v>1</v>
      </c>
      <c r="AT46" s="41">
        <v>46104.413194444445</v>
      </c>
      <c r="AU46" s="42" t="s">
        <v>63</v>
      </c>
    </row>
    <row r="47" spans="1:47" ht="13.5" customHeight="1" x14ac:dyDescent="0.2">
      <c r="A47" s="20" t="s">
        <v>108</v>
      </c>
      <c r="B47" s="20"/>
      <c r="C47" s="20"/>
      <c r="D47" s="20"/>
      <c r="E47" s="21">
        <v>231468</v>
      </c>
      <c r="F47" s="22">
        <v>1</v>
      </c>
      <c r="G47" s="22">
        <v>1</v>
      </c>
      <c r="H47" s="23" t="s">
        <v>28</v>
      </c>
      <c r="I47" s="20" t="s">
        <v>45</v>
      </c>
      <c r="J47" s="20"/>
      <c r="P47" s="39" t="s">
        <v>222</v>
      </c>
      <c r="Q47" s="39">
        <v>231468</v>
      </c>
      <c r="R47" s="39">
        <v>1</v>
      </c>
      <c r="S47" s="40">
        <v>1</v>
      </c>
      <c r="T47" s="52">
        <v>46104.574305555558</v>
      </c>
      <c r="U47" s="42" t="s">
        <v>63</v>
      </c>
      <c r="V47" s="42" t="s">
        <v>188</v>
      </c>
      <c r="AP47" s="39" t="s">
        <v>222</v>
      </c>
      <c r="AQ47" s="39">
        <v>231468</v>
      </c>
      <c r="AR47" s="39">
        <v>1</v>
      </c>
      <c r="AS47" s="39">
        <v>1</v>
      </c>
      <c r="AT47" s="41">
        <v>46104.434027777781</v>
      </c>
      <c r="AU47" s="42" t="s">
        <v>63</v>
      </c>
    </row>
    <row r="48" spans="1:47" ht="13.5" customHeight="1" x14ac:dyDescent="0.2">
      <c r="A48" s="20" t="s">
        <v>109</v>
      </c>
      <c r="B48" s="20"/>
      <c r="C48" s="20"/>
      <c r="D48" s="20"/>
      <c r="E48" s="21">
        <v>231469</v>
      </c>
      <c r="F48" s="22">
        <v>1</v>
      </c>
      <c r="G48" s="22">
        <v>1</v>
      </c>
      <c r="H48" s="23" t="s">
        <v>25</v>
      </c>
      <c r="I48" s="20" t="s">
        <v>24</v>
      </c>
      <c r="J48" s="20"/>
      <c r="P48" s="39" t="s">
        <v>223</v>
      </c>
      <c r="Q48" s="39">
        <v>231469</v>
      </c>
      <c r="R48" s="39">
        <v>1</v>
      </c>
      <c r="S48" s="40">
        <v>1</v>
      </c>
      <c r="T48" s="52">
        <v>46104.415277777778</v>
      </c>
      <c r="U48" s="42" t="s">
        <v>63</v>
      </c>
      <c r="V48" s="42" t="s">
        <v>188</v>
      </c>
      <c r="AP48" s="39" t="s">
        <v>223</v>
      </c>
      <c r="AQ48" s="39">
        <v>231469</v>
      </c>
      <c r="AR48" s="39">
        <v>1</v>
      </c>
      <c r="AS48" s="39">
        <v>1</v>
      </c>
      <c r="AT48" s="41">
        <v>46104.336111111108</v>
      </c>
      <c r="AU48" s="42" t="s">
        <v>63</v>
      </c>
    </row>
    <row r="49" spans="1:47" ht="13.5" customHeight="1" x14ac:dyDescent="0.2">
      <c r="A49" s="20" t="s">
        <v>110</v>
      </c>
      <c r="B49" s="20"/>
      <c r="C49" s="20"/>
      <c r="D49" s="20"/>
      <c r="E49" s="21">
        <v>231470</v>
      </c>
      <c r="F49" s="22">
        <v>1</v>
      </c>
      <c r="G49" s="22">
        <v>1</v>
      </c>
      <c r="H49" s="23" t="s">
        <v>111</v>
      </c>
      <c r="I49" s="20" t="s">
        <v>112</v>
      </c>
      <c r="J49" s="20"/>
      <c r="P49" s="39" t="s">
        <v>224</v>
      </c>
      <c r="Q49" s="39">
        <v>231470</v>
      </c>
      <c r="R49" s="39">
        <v>1</v>
      </c>
      <c r="S49" s="40">
        <v>1</v>
      </c>
      <c r="T49" s="52">
        <v>46104.390972222223</v>
      </c>
      <c r="U49" s="42" t="s">
        <v>63</v>
      </c>
      <c r="V49" s="42" t="s">
        <v>188</v>
      </c>
      <c r="AP49" s="39" t="s">
        <v>224</v>
      </c>
      <c r="AQ49" s="39">
        <v>231470</v>
      </c>
      <c r="AR49" s="39">
        <v>1</v>
      </c>
      <c r="AS49" s="39">
        <v>1</v>
      </c>
      <c r="AT49" s="41">
        <v>46104.390277777777</v>
      </c>
      <c r="AU49" s="42" t="s">
        <v>63</v>
      </c>
    </row>
    <row r="50" spans="1:47" ht="13.5" customHeight="1" x14ac:dyDescent="0.2">
      <c r="A50" s="20" t="s">
        <v>113</v>
      </c>
      <c r="B50" s="20"/>
      <c r="C50" s="20"/>
      <c r="D50" s="20"/>
      <c r="E50" s="21">
        <v>231471</v>
      </c>
      <c r="F50" s="22">
        <v>1</v>
      </c>
      <c r="G50" s="22">
        <v>1</v>
      </c>
      <c r="H50" s="23" t="s">
        <v>114</v>
      </c>
      <c r="I50" s="20" t="s">
        <v>45</v>
      </c>
      <c r="J50" s="20"/>
      <c r="P50" s="39" t="s">
        <v>225</v>
      </c>
      <c r="Q50" s="39">
        <v>231471</v>
      </c>
      <c r="R50" s="39">
        <v>1</v>
      </c>
      <c r="S50" s="40">
        <v>1</v>
      </c>
      <c r="T50" s="52">
        <v>46104.572916666664</v>
      </c>
      <c r="U50" s="42" t="s">
        <v>63</v>
      </c>
      <c r="V50" s="42" t="s">
        <v>188</v>
      </c>
      <c r="AP50" s="39" t="s">
        <v>225</v>
      </c>
      <c r="AQ50" s="39">
        <v>231471</v>
      </c>
      <c r="AR50" s="39">
        <v>1</v>
      </c>
      <c r="AS50" s="39">
        <v>1</v>
      </c>
      <c r="AT50" s="41">
        <v>46104.434027777781</v>
      </c>
      <c r="AU50" s="42" t="s">
        <v>63</v>
      </c>
    </row>
    <row r="51" spans="1:47" ht="13.5" customHeight="1" x14ac:dyDescent="0.2">
      <c r="A51" s="20" t="s">
        <v>115</v>
      </c>
      <c r="B51" s="20"/>
      <c r="C51" s="20"/>
      <c r="D51" s="20"/>
      <c r="E51" s="21">
        <v>231476</v>
      </c>
      <c r="F51" s="22">
        <v>1</v>
      </c>
      <c r="G51" s="22">
        <v>1</v>
      </c>
      <c r="H51" s="23" t="s">
        <v>23</v>
      </c>
      <c r="I51" s="20" t="s">
        <v>24</v>
      </c>
      <c r="J51" s="20"/>
      <c r="P51" s="39" t="s">
        <v>226</v>
      </c>
      <c r="Q51" s="39">
        <v>231476</v>
      </c>
      <c r="R51" s="39">
        <v>1</v>
      </c>
      <c r="S51" s="40">
        <v>1</v>
      </c>
      <c r="T51" s="52">
        <v>46104.349305555559</v>
      </c>
      <c r="U51" s="42" t="s">
        <v>63</v>
      </c>
      <c r="V51" s="42" t="s">
        <v>188</v>
      </c>
      <c r="AP51" s="39" t="s">
        <v>226</v>
      </c>
      <c r="AQ51" s="39">
        <v>231476</v>
      </c>
      <c r="AR51" s="39">
        <v>1</v>
      </c>
      <c r="AS51" s="39">
        <v>1</v>
      </c>
      <c r="AT51" s="41">
        <v>46104.335416666669</v>
      </c>
      <c r="AU51" s="42" t="s">
        <v>63</v>
      </c>
    </row>
    <row r="52" spans="1:47" ht="13.5" customHeight="1" x14ac:dyDescent="0.2">
      <c r="A52" s="20" t="s">
        <v>115</v>
      </c>
      <c r="B52" s="20"/>
      <c r="C52" s="20"/>
      <c r="D52" s="20"/>
      <c r="E52" s="21">
        <v>231476</v>
      </c>
      <c r="F52" s="22">
        <v>2</v>
      </c>
      <c r="G52" s="22">
        <v>4</v>
      </c>
      <c r="H52" s="23" t="s">
        <v>25</v>
      </c>
      <c r="I52" s="20" t="s">
        <v>24</v>
      </c>
      <c r="J52" s="20"/>
      <c r="P52" s="39" t="s">
        <v>227</v>
      </c>
      <c r="Q52" s="39">
        <v>231476</v>
      </c>
      <c r="R52" s="39">
        <v>2</v>
      </c>
      <c r="S52" s="40">
        <v>4</v>
      </c>
      <c r="T52" s="52">
        <v>46104.414583333331</v>
      </c>
      <c r="U52" s="42" t="s">
        <v>63</v>
      </c>
      <c r="V52" s="42" t="s">
        <v>188</v>
      </c>
      <c r="AP52" s="39" t="s">
        <v>227</v>
      </c>
      <c r="AQ52" s="39">
        <v>231476</v>
      </c>
      <c r="AR52" s="39">
        <v>2</v>
      </c>
      <c r="AS52" s="39">
        <v>4</v>
      </c>
      <c r="AT52" s="41">
        <v>46104.335416666669</v>
      </c>
      <c r="AU52" s="42" t="s">
        <v>63</v>
      </c>
    </row>
    <row r="53" spans="1:47" ht="13.5" customHeight="1" x14ac:dyDescent="0.2">
      <c r="A53" s="20" t="s">
        <v>116</v>
      </c>
      <c r="B53" s="20"/>
      <c r="C53" s="20"/>
      <c r="D53" s="20"/>
      <c r="E53" s="21">
        <v>231477</v>
      </c>
      <c r="F53" s="22">
        <v>1</v>
      </c>
      <c r="G53" s="22">
        <v>3</v>
      </c>
      <c r="H53" s="23" t="s">
        <v>25</v>
      </c>
      <c r="I53" s="20" t="s">
        <v>24</v>
      </c>
      <c r="J53" s="20"/>
      <c r="P53" s="39" t="s">
        <v>228</v>
      </c>
      <c r="Q53" s="39">
        <v>231477</v>
      </c>
      <c r="R53" s="39">
        <v>1</v>
      </c>
      <c r="S53" s="40">
        <v>3</v>
      </c>
      <c r="T53" s="52">
        <v>46104.415277777778</v>
      </c>
      <c r="U53" s="42" t="s">
        <v>63</v>
      </c>
      <c r="V53" s="42" t="s">
        <v>188</v>
      </c>
      <c r="AP53" s="39" t="s">
        <v>228</v>
      </c>
      <c r="AQ53" s="39">
        <v>231477</v>
      </c>
      <c r="AR53" s="39">
        <v>1</v>
      </c>
      <c r="AS53" s="39">
        <v>3</v>
      </c>
      <c r="AT53" s="41">
        <v>46104.336111111108</v>
      </c>
      <c r="AU53" s="42" t="s">
        <v>63</v>
      </c>
    </row>
    <row r="54" spans="1:47" ht="13.5" customHeight="1" x14ac:dyDescent="0.2">
      <c r="A54" s="20" t="s">
        <v>117</v>
      </c>
      <c r="B54" s="20"/>
      <c r="C54" s="20"/>
      <c r="D54" s="20"/>
      <c r="E54" s="21">
        <v>231478</v>
      </c>
      <c r="F54" s="22">
        <v>1</v>
      </c>
      <c r="G54" s="22">
        <v>1</v>
      </c>
      <c r="H54" s="23" t="s">
        <v>118</v>
      </c>
      <c r="I54" s="20" t="s">
        <v>119</v>
      </c>
      <c r="J54" s="20"/>
      <c r="P54" s="39" t="s">
        <v>229</v>
      </c>
      <c r="Q54" s="39">
        <v>231478</v>
      </c>
      <c r="R54" s="39">
        <v>1</v>
      </c>
      <c r="S54" s="40">
        <v>1</v>
      </c>
      <c r="T54" s="52">
        <v>46104.349305555559</v>
      </c>
      <c r="U54" s="42" t="s">
        <v>63</v>
      </c>
      <c r="V54" s="42" t="s">
        <v>188</v>
      </c>
      <c r="AP54" s="39" t="s">
        <v>229</v>
      </c>
      <c r="AQ54" s="39">
        <v>231478</v>
      </c>
      <c r="AR54" s="39">
        <v>1</v>
      </c>
      <c r="AS54" s="39">
        <v>1</v>
      </c>
      <c r="AT54" s="41">
        <v>46104.335416666669</v>
      </c>
      <c r="AU54" s="42" t="s">
        <v>63</v>
      </c>
    </row>
    <row r="55" spans="1:47" ht="13.5" customHeight="1" x14ac:dyDescent="0.2">
      <c r="A55" s="20" t="s">
        <v>117</v>
      </c>
      <c r="B55" s="20"/>
      <c r="C55" s="20"/>
      <c r="D55" s="20"/>
      <c r="E55" s="21">
        <v>231478</v>
      </c>
      <c r="F55" s="22">
        <v>2</v>
      </c>
      <c r="G55" s="22">
        <v>1</v>
      </c>
      <c r="H55" s="23" t="s">
        <v>120</v>
      </c>
      <c r="I55" s="20" t="s">
        <v>119</v>
      </c>
      <c r="J55" s="20"/>
      <c r="P55" s="39" t="s">
        <v>230</v>
      </c>
      <c r="Q55" s="39">
        <v>231478</v>
      </c>
      <c r="R55" s="39">
        <v>2</v>
      </c>
      <c r="S55" s="40">
        <v>1</v>
      </c>
      <c r="T55" s="52">
        <v>46104.326388888891</v>
      </c>
      <c r="U55" s="42" t="s">
        <v>63</v>
      </c>
      <c r="V55" s="42" t="s">
        <v>188</v>
      </c>
      <c r="AP55" s="39" t="s">
        <v>230</v>
      </c>
      <c r="AQ55" s="39">
        <v>231478</v>
      </c>
      <c r="AR55" s="39">
        <v>2</v>
      </c>
      <c r="AS55" s="39">
        <v>1</v>
      </c>
      <c r="AT55" s="41">
        <v>46104.325694444444</v>
      </c>
      <c r="AU55" s="42" t="s">
        <v>63</v>
      </c>
    </row>
    <row r="56" spans="1:47" ht="13.5" customHeight="1" x14ac:dyDescent="0.2">
      <c r="A56" s="20" t="s">
        <v>121</v>
      </c>
      <c r="B56" s="20"/>
      <c r="C56" s="20"/>
      <c r="D56" s="20"/>
      <c r="E56" s="21">
        <v>231479</v>
      </c>
      <c r="F56" s="22">
        <v>1</v>
      </c>
      <c r="G56" s="22">
        <v>1</v>
      </c>
      <c r="H56" s="23" t="s">
        <v>122</v>
      </c>
      <c r="I56" s="20" t="s">
        <v>119</v>
      </c>
      <c r="J56" s="20"/>
      <c r="P56" s="39" t="s">
        <v>231</v>
      </c>
      <c r="Q56" s="39">
        <v>231479</v>
      </c>
      <c r="R56" s="39">
        <v>1</v>
      </c>
      <c r="S56" s="40">
        <v>1</v>
      </c>
      <c r="T56" s="52">
        <v>46104.379166666666</v>
      </c>
      <c r="U56" s="42" t="s">
        <v>63</v>
      </c>
      <c r="V56" s="42" t="s">
        <v>188</v>
      </c>
      <c r="AP56" s="39" t="s">
        <v>231</v>
      </c>
      <c r="AQ56" s="39">
        <v>231479</v>
      </c>
      <c r="AR56" s="39">
        <v>1</v>
      </c>
      <c r="AS56" s="39">
        <v>1</v>
      </c>
      <c r="AT56" s="41">
        <v>46104.373611111114</v>
      </c>
      <c r="AU56" s="42" t="s">
        <v>63</v>
      </c>
    </row>
    <row r="57" spans="1:47" ht="13.5" customHeight="1" x14ac:dyDescent="0.2">
      <c r="A57" s="20" t="s">
        <v>121</v>
      </c>
      <c r="B57" s="20"/>
      <c r="C57" s="20"/>
      <c r="D57" s="20"/>
      <c r="E57" s="21">
        <v>231479</v>
      </c>
      <c r="F57" s="22">
        <v>2</v>
      </c>
      <c r="G57" s="22">
        <v>2</v>
      </c>
      <c r="H57" s="23" t="s">
        <v>123</v>
      </c>
      <c r="I57" s="20" t="s">
        <v>119</v>
      </c>
      <c r="J57" s="20"/>
      <c r="P57" s="39" t="s">
        <v>232</v>
      </c>
      <c r="Q57" s="39">
        <v>231479</v>
      </c>
      <c r="R57" s="39">
        <v>2</v>
      </c>
      <c r="S57" s="40">
        <v>2</v>
      </c>
      <c r="T57" s="52">
        <v>46104.413888888892</v>
      </c>
      <c r="U57" s="42" t="s">
        <v>63</v>
      </c>
      <c r="V57" s="42" t="s">
        <v>188</v>
      </c>
      <c r="AP57" s="39" t="s">
        <v>232</v>
      </c>
      <c r="AQ57" s="39">
        <v>231479</v>
      </c>
      <c r="AR57" s="39">
        <v>2</v>
      </c>
      <c r="AS57" s="39">
        <v>2</v>
      </c>
      <c r="AT57" s="41">
        <v>46104.413888888892</v>
      </c>
      <c r="AU57" s="42" t="s">
        <v>63</v>
      </c>
    </row>
    <row r="58" spans="1:47" ht="13.5" customHeight="1" x14ac:dyDescent="0.2">
      <c r="A58" s="20" t="s">
        <v>121</v>
      </c>
      <c r="B58" s="20"/>
      <c r="C58" s="20"/>
      <c r="D58" s="20"/>
      <c r="E58" s="21">
        <v>231479</v>
      </c>
      <c r="F58" s="22">
        <v>3</v>
      </c>
      <c r="G58" s="22">
        <v>1</v>
      </c>
      <c r="H58" s="23" t="s">
        <v>124</v>
      </c>
      <c r="I58" s="20" t="s">
        <v>119</v>
      </c>
      <c r="J58" s="20"/>
      <c r="P58" s="39" t="s">
        <v>233</v>
      </c>
      <c r="Q58" s="39">
        <v>231479</v>
      </c>
      <c r="R58" s="39">
        <v>3</v>
      </c>
      <c r="S58" s="40">
        <v>1</v>
      </c>
      <c r="T58" s="52">
        <v>46104.349305555559</v>
      </c>
      <c r="U58" s="42" t="s">
        <v>63</v>
      </c>
      <c r="V58" s="42" t="s">
        <v>188</v>
      </c>
      <c r="AP58" s="39" t="s">
        <v>233</v>
      </c>
      <c r="AQ58" s="39">
        <v>231479</v>
      </c>
      <c r="AR58" s="39">
        <v>3</v>
      </c>
      <c r="AS58" s="39">
        <v>1</v>
      </c>
      <c r="AT58" s="41">
        <v>46104.335416666669</v>
      </c>
      <c r="AU58" s="42" t="s">
        <v>63</v>
      </c>
    </row>
    <row r="59" spans="1:47" ht="13.5" customHeight="1" x14ac:dyDescent="0.2">
      <c r="A59" s="20" t="s">
        <v>125</v>
      </c>
      <c r="B59" s="20"/>
      <c r="C59" s="20"/>
      <c r="D59" s="20"/>
      <c r="E59" s="21">
        <v>231480</v>
      </c>
      <c r="F59" s="22">
        <v>1</v>
      </c>
      <c r="G59" s="22">
        <v>1</v>
      </c>
      <c r="H59" s="23" t="s">
        <v>23</v>
      </c>
      <c r="I59" s="20" t="s">
        <v>119</v>
      </c>
      <c r="J59" s="20"/>
      <c r="P59" s="39" t="s">
        <v>234</v>
      </c>
      <c r="Q59" s="39">
        <v>231480</v>
      </c>
      <c r="R59" s="39">
        <v>1</v>
      </c>
      <c r="S59" s="40">
        <v>1</v>
      </c>
      <c r="T59" s="52">
        <v>46104.347222222219</v>
      </c>
      <c r="U59" s="42" t="s">
        <v>63</v>
      </c>
      <c r="V59" s="42" t="s">
        <v>188</v>
      </c>
      <c r="AP59" s="39" t="s">
        <v>234</v>
      </c>
      <c r="AQ59" s="39">
        <v>231480</v>
      </c>
      <c r="AR59" s="39">
        <v>1</v>
      </c>
      <c r="AS59" s="39">
        <v>1</v>
      </c>
      <c r="AT59" s="41">
        <v>46104.334722222222</v>
      </c>
      <c r="AU59" s="42" t="s">
        <v>63</v>
      </c>
    </row>
    <row r="60" spans="1:47" ht="13.5" customHeight="1" x14ac:dyDescent="0.2">
      <c r="A60" s="20" t="s">
        <v>126</v>
      </c>
      <c r="B60" s="20"/>
      <c r="C60" s="20"/>
      <c r="D60" s="20"/>
      <c r="E60" s="21">
        <v>231481</v>
      </c>
      <c r="F60" s="22">
        <v>1</v>
      </c>
      <c r="G60" s="22">
        <v>1</v>
      </c>
      <c r="H60" s="23" t="s">
        <v>47</v>
      </c>
      <c r="I60" s="20" t="s">
        <v>26</v>
      </c>
      <c r="J60" s="20"/>
      <c r="P60" s="39" t="s">
        <v>235</v>
      </c>
      <c r="Q60" s="39">
        <v>231481</v>
      </c>
      <c r="R60" s="39">
        <v>1</v>
      </c>
      <c r="S60" s="40">
        <v>1</v>
      </c>
      <c r="T60" s="52">
        <v>46104.412499999999</v>
      </c>
      <c r="U60" s="42" t="s">
        <v>63</v>
      </c>
      <c r="V60" s="42" t="s">
        <v>188</v>
      </c>
      <c r="AP60" s="39" t="s">
        <v>235</v>
      </c>
      <c r="AQ60" s="39">
        <v>231481</v>
      </c>
      <c r="AR60" s="39">
        <v>1</v>
      </c>
      <c r="AS60" s="39">
        <v>1</v>
      </c>
      <c r="AT60" s="41">
        <v>46104.411805555559</v>
      </c>
      <c r="AU60" s="42" t="s">
        <v>63</v>
      </c>
    </row>
    <row r="61" spans="1:47" ht="13.5" customHeight="1" x14ac:dyDescent="0.2">
      <c r="A61" s="20" t="s">
        <v>127</v>
      </c>
      <c r="B61" s="20"/>
      <c r="C61" s="20"/>
      <c r="D61" s="20"/>
      <c r="E61" s="21">
        <v>231482</v>
      </c>
      <c r="F61" s="22">
        <v>1</v>
      </c>
      <c r="G61" s="22">
        <v>1</v>
      </c>
      <c r="H61" s="23" t="s">
        <v>53</v>
      </c>
      <c r="I61" s="20" t="s">
        <v>26</v>
      </c>
      <c r="J61" s="20"/>
      <c r="P61" s="39" t="s">
        <v>236</v>
      </c>
      <c r="Q61" s="39">
        <v>231482</v>
      </c>
      <c r="R61" s="39">
        <v>1</v>
      </c>
      <c r="S61" s="40">
        <v>1</v>
      </c>
      <c r="T61" s="52">
        <v>46104.411805555559</v>
      </c>
      <c r="U61" s="42" t="s">
        <v>63</v>
      </c>
      <c r="V61" s="42" t="s">
        <v>188</v>
      </c>
      <c r="AP61" s="39" t="s">
        <v>236</v>
      </c>
      <c r="AQ61" s="39">
        <v>231482</v>
      </c>
      <c r="AR61" s="39">
        <v>1</v>
      </c>
      <c r="AS61" s="39">
        <v>1</v>
      </c>
      <c r="AT61" s="41">
        <v>46104.411805555559</v>
      </c>
      <c r="AU61" s="42" t="s">
        <v>63</v>
      </c>
    </row>
    <row r="62" spans="1:47" ht="13.5" customHeight="1" x14ac:dyDescent="0.2">
      <c r="A62" s="20" t="s">
        <v>128</v>
      </c>
      <c r="B62" s="20"/>
      <c r="C62" s="20"/>
      <c r="D62" s="20"/>
      <c r="E62" s="21">
        <v>231483</v>
      </c>
      <c r="F62" s="22">
        <v>1</v>
      </c>
      <c r="G62" s="22">
        <v>1</v>
      </c>
      <c r="H62" s="23" t="s">
        <v>53</v>
      </c>
      <c r="I62" s="20" t="s">
        <v>26</v>
      </c>
      <c r="J62" s="20"/>
      <c r="P62" s="39" t="s">
        <v>237</v>
      </c>
      <c r="Q62" s="39">
        <v>231483</v>
      </c>
      <c r="R62" s="39">
        <v>1</v>
      </c>
      <c r="S62" s="40">
        <v>1</v>
      </c>
      <c r="T62" s="52">
        <v>46104.411805555559</v>
      </c>
      <c r="U62" s="42" t="s">
        <v>63</v>
      </c>
      <c r="V62" s="42" t="s">
        <v>188</v>
      </c>
      <c r="AP62" s="39" t="s">
        <v>237</v>
      </c>
      <c r="AQ62" s="39">
        <v>231483</v>
      </c>
      <c r="AR62" s="39">
        <v>1</v>
      </c>
      <c r="AS62" s="39">
        <v>1</v>
      </c>
      <c r="AT62" s="41">
        <v>46104.411111111112</v>
      </c>
      <c r="AU62" s="42" t="s">
        <v>63</v>
      </c>
    </row>
    <row r="63" spans="1:47" ht="13.5" customHeight="1" x14ac:dyDescent="0.2">
      <c r="A63" s="20" t="s">
        <v>129</v>
      </c>
      <c r="B63" s="20"/>
      <c r="C63" s="20"/>
      <c r="D63" s="20"/>
      <c r="E63" s="21">
        <v>231484</v>
      </c>
      <c r="F63" s="22">
        <v>1</v>
      </c>
      <c r="G63" s="22">
        <v>1</v>
      </c>
      <c r="H63" s="23" t="s">
        <v>130</v>
      </c>
      <c r="I63" s="20" t="s">
        <v>26</v>
      </c>
      <c r="J63" s="20"/>
      <c r="P63" s="39" t="s">
        <v>238</v>
      </c>
      <c r="Q63" s="39">
        <v>231484</v>
      </c>
      <c r="R63" s="39">
        <v>1</v>
      </c>
      <c r="S63" s="40">
        <v>1</v>
      </c>
      <c r="T63" s="52">
        <v>46104.411111111112</v>
      </c>
      <c r="U63" s="42" t="s">
        <v>63</v>
      </c>
      <c r="V63" s="42" t="s">
        <v>188</v>
      </c>
      <c r="AP63" s="39" t="s">
        <v>238</v>
      </c>
      <c r="AQ63" s="39">
        <v>231484</v>
      </c>
      <c r="AR63" s="39">
        <v>1</v>
      </c>
      <c r="AS63" s="39">
        <v>1</v>
      </c>
      <c r="AT63" s="41">
        <v>46104.411111111112</v>
      </c>
      <c r="AU63" s="42" t="s">
        <v>63</v>
      </c>
    </row>
    <row r="64" spans="1:47" ht="13.5" customHeight="1" x14ac:dyDescent="0.2">
      <c r="A64" s="20" t="s">
        <v>131</v>
      </c>
      <c r="B64" s="20"/>
      <c r="C64" s="20"/>
      <c r="D64" s="20"/>
      <c r="E64" s="21">
        <v>231485</v>
      </c>
      <c r="F64" s="22">
        <v>1</v>
      </c>
      <c r="G64" s="22">
        <v>1</v>
      </c>
      <c r="H64" s="23" t="s">
        <v>132</v>
      </c>
      <c r="I64" s="20" t="s">
        <v>133</v>
      </c>
      <c r="J64" s="20"/>
      <c r="P64" s="39"/>
      <c r="Q64" s="39"/>
      <c r="R64" s="39"/>
      <c r="S64" s="39"/>
      <c r="T64" s="52"/>
      <c r="U64" s="39"/>
      <c r="V64" s="39"/>
      <c r="AP64" s="39"/>
      <c r="AQ64" s="39"/>
      <c r="AR64" s="39"/>
      <c r="AS64" s="39"/>
      <c r="AT64" s="39"/>
      <c r="AU64" s="39"/>
    </row>
    <row r="65" spans="1:47" ht="13.5" customHeight="1" x14ac:dyDescent="0.2">
      <c r="A65" s="20" t="s">
        <v>131</v>
      </c>
      <c r="B65" s="20"/>
      <c r="C65" s="20"/>
      <c r="D65" s="20"/>
      <c r="E65" s="21">
        <v>231485</v>
      </c>
      <c r="F65" s="22">
        <v>2</v>
      </c>
      <c r="G65" s="22">
        <v>1</v>
      </c>
      <c r="H65" s="23" t="s">
        <v>134</v>
      </c>
      <c r="I65" s="20" t="s">
        <v>133</v>
      </c>
      <c r="J65" s="20"/>
      <c r="P65" s="39"/>
      <c r="Q65" s="39"/>
      <c r="R65" s="39"/>
      <c r="S65" s="39"/>
      <c r="T65" s="52"/>
      <c r="U65" s="39"/>
      <c r="V65" s="39"/>
      <c r="AP65" s="39"/>
      <c r="AQ65" s="39"/>
      <c r="AR65" s="39"/>
      <c r="AS65" s="39"/>
      <c r="AT65" s="39"/>
      <c r="AU65" s="39"/>
    </row>
    <row r="66" spans="1:47" ht="13.5" customHeight="1" x14ac:dyDescent="0.2">
      <c r="A66" s="20" t="s">
        <v>135</v>
      </c>
      <c r="B66" s="20"/>
      <c r="C66" s="20"/>
      <c r="D66" s="20"/>
      <c r="E66" s="21">
        <v>231486</v>
      </c>
      <c r="F66" s="22">
        <v>1</v>
      </c>
      <c r="G66" s="22">
        <v>1</v>
      </c>
      <c r="H66" s="23" t="s">
        <v>136</v>
      </c>
      <c r="I66" s="20" t="s">
        <v>137</v>
      </c>
      <c r="J66" s="20"/>
      <c r="P66" s="39" t="s">
        <v>239</v>
      </c>
      <c r="Q66" s="39">
        <v>231486</v>
      </c>
      <c r="R66" s="39">
        <v>1</v>
      </c>
      <c r="S66" s="40">
        <v>1</v>
      </c>
      <c r="T66" s="52">
        <v>46104.385416666664</v>
      </c>
      <c r="U66" s="42" t="s">
        <v>63</v>
      </c>
      <c r="V66" s="42" t="s">
        <v>188</v>
      </c>
      <c r="AP66" s="39" t="s">
        <v>239</v>
      </c>
      <c r="AQ66" s="39">
        <v>231486</v>
      </c>
      <c r="AR66" s="39">
        <v>1</v>
      </c>
      <c r="AS66" s="39">
        <v>1</v>
      </c>
      <c r="AT66" s="41">
        <v>46104.375</v>
      </c>
      <c r="AU66" s="42" t="s">
        <v>63</v>
      </c>
    </row>
    <row r="67" spans="1:47" ht="13.5" customHeight="1" x14ac:dyDescent="0.2">
      <c r="A67" s="20" t="s">
        <v>138</v>
      </c>
      <c r="B67" s="20"/>
      <c r="C67" s="20"/>
      <c r="D67" s="20"/>
      <c r="E67" s="21">
        <v>231487</v>
      </c>
      <c r="F67" s="22">
        <v>1</v>
      </c>
      <c r="G67" s="22">
        <v>1</v>
      </c>
      <c r="H67" s="23" t="s">
        <v>49</v>
      </c>
      <c r="I67" s="20" t="s">
        <v>42</v>
      </c>
      <c r="J67" s="20"/>
      <c r="P67" s="39" t="s">
        <v>240</v>
      </c>
      <c r="Q67" s="39">
        <v>231487</v>
      </c>
      <c r="R67" s="39">
        <v>1</v>
      </c>
      <c r="S67" s="40">
        <v>1</v>
      </c>
      <c r="T67" s="52">
        <v>46104.412499999999</v>
      </c>
      <c r="U67" s="42" t="s">
        <v>63</v>
      </c>
      <c r="V67" s="42" t="s">
        <v>188</v>
      </c>
      <c r="AP67" s="39" t="s">
        <v>240</v>
      </c>
      <c r="AQ67" s="39">
        <v>231487</v>
      </c>
      <c r="AR67" s="39">
        <v>1</v>
      </c>
      <c r="AS67" s="39">
        <v>1</v>
      </c>
      <c r="AT67" s="41">
        <v>46104.412499999999</v>
      </c>
      <c r="AU67" s="42" t="s">
        <v>63</v>
      </c>
    </row>
    <row r="68" spans="1:47" ht="13.5" customHeight="1" x14ac:dyDescent="0.2">
      <c r="A68" s="19" t="s">
        <v>55</v>
      </c>
      <c r="P68" s="39"/>
      <c r="Q68" s="39"/>
      <c r="R68" s="39"/>
      <c r="S68" s="39"/>
      <c r="T68" s="52"/>
      <c r="U68" s="39"/>
      <c r="V68" s="39"/>
      <c r="AP68" s="39"/>
      <c r="AQ68" s="39"/>
      <c r="AR68" s="39"/>
      <c r="AS68" s="39"/>
      <c r="AT68" s="39"/>
      <c r="AU68" s="39"/>
    </row>
    <row r="69" spans="1:47" ht="13.5" customHeight="1" x14ac:dyDescent="0.2">
      <c r="A69" s="20" t="s">
        <v>139</v>
      </c>
      <c r="B69" s="20"/>
      <c r="C69" s="20"/>
      <c r="D69" s="20"/>
      <c r="E69" s="21">
        <v>231426</v>
      </c>
      <c r="F69" s="22">
        <v>1</v>
      </c>
      <c r="G69" s="22">
        <v>4</v>
      </c>
      <c r="H69" s="23" t="s">
        <v>140</v>
      </c>
      <c r="I69" s="20" t="s">
        <v>141</v>
      </c>
      <c r="J69" s="20"/>
      <c r="P69" s="39"/>
      <c r="Q69" s="39"/>
      <c r="R69" s="39"/>
      <c r="S69" s="39"/>
      <c r="T69" s="52"/>
      <c r="U69" s="39"/>
      <c r="V69" s="39"/>
      <c r="AP69" s="39"/>
      <c r="AQ69" s="39"/>
      <c r="AR69" s="39"/>
      <c r="AS69" s="39"/>
      <c r="AT69" s="39"/>
      <c r="AU69" s="39"/>
    </row>
    <row r="70" spans="1:47" ht="13.5" customHeight="1" x14ac:dyDescent="0.2">
      <c r="A70" s="19" t="s">
        <v>8</v>
      </c>
      <c r="P70" s="39"/>
      <c r="Q70" s="39"/>
      <c r="R70" s="39"/>
      <c r="S70" s="39"/>
      <c r="T70" s="52"/>
      <c r="U70" s="39"/>
      <c r="V70" s="39"/>
      <c r="AP70" s="39"/>
      <c r="AQ70" s="39"/>
      <c r="AR70" s="39"/>
      <c r="AS70" s="39"/>
      <c r="AT70" s="39"/>
      <c r="AU70" s="39"/>
    </row>
    <row r="71" spans="1:47" ht="13.5" customHeight="1" x14ac:dyDescent="0.2">
      <c r="A71" s="20" t="s">
        <v>142</v>
      </c>
      <c r="B71" s="20"/>
      <c r="C71" s="20"/>
      <c r="D71" s="20"/>
      <c r="E71" s="21">
        <v>231297</v>
      </c>
      <c r="F71" s="22">
        <v>1</v>
      </c>
      <c r="G71" s="22">
        <v>1</v>
      </c>
      <c r="H71" s="23" t="s">
        <v>143</v>
      </c>
      <c r="I71" s="20" t="s">
        <v>27</v>
      </c>
      <c r="J71" s="20"/>
      <c r="P71" s="39" t="s">
        <v>241</v>
      </c>
      <c r="Q71" s="39">
        <v>231297</v>
      </c>
      <c r="R71" s="39">
        <v>1</v>
      </c>
      <c r="S71" s="40">
        <v>1</v>
      </c>
      <c r="T71" s="52">
        <v>46104.276388888888</v>
      </c>
      <c r="U71" s="42" t="s">
        <v>63</v>
      </c>
      <c r="V71" s="42" t="s">
        <v>188</v>
      </c>
      <c r="AP71" s="39" t="s">
        <v>241</v>
      </c>
      <c r="AQ71" s="39">
        <v>231297</v>
      </c>
      <c r="AR71" s="39">
        <v>1</v>
      </c>
      <c r="AS71" s="39">
        <v>1</v>
      </c>
      <c r="AT71" s="41">
        <v>46101.335416666669</v>
      </c>
      <c r="AU71" s="42" t="s">
        <v>63</v>
      </c>
    </row>
    <row r="72" spans="1:47" ht="13.5" customHeight="1" x14ac:dyDescent="0.2">
      <c r="A72" s="20" t="s">
        <v>142</v>
      </c>
      <c r="B72" s="20"/>
      <c r="C72" s="20"/>
      <c r="D72" s="20"/>
      <c r="E72" s="21">
        <v>231297</v>
      </c>
      <c r="F72" s="22">
        <v>2</v>
      </c>
      <c r="G72" s="22">
        <v>1</v>
      </c>
      <c r="H72" s="23" t="s">
        <v>144</v>
      </c>
      <c r="I72" s="20" t="s">
        <v>27</v>
      </c>
      <c r="J72" s="20"/>
      <c r="P72" s="39" t="s">
        <v>242</v>
      </c>
      <c r="Q72" s="39">
        <v>231297</v>
      </c>
      <c r="R72" s="39">
        <v>2</v>
      </c>
      <c r="S72" s="40">
        <v>1</v>
      </c>
      <c r="T72" s="52">
        <v>46104.268055555556</v>
      </c>
      <c r="U72" s="42" t="s">
        <v>63</v>
      </c>
      <c r="V72" s="42" t="s">
        <v>188</v>
      </c>
      <c r="AP72" s="39" t="s">
        <v>242</v>
      </c>
      <c r="AQ72" s="39">
        <v>231297</v>
      </c>
      <c r="AR72" s="39">
        <v>2</v>
      </c>
      <c r="AS72" s="39">
        <v>1</v>
      </c>
      <c r="AT72" s="41">
        <v>46101.338888888888</v>
      </c>
      <c r="AU72" s="42" t="s">
        <v>63</v>
      </c>
    </row>
    <row r="73" spans="1:47" ht="13.5" customHeight="1" x14ac:dyDescent="0.2">
      <c r="A73" s="20" t="s">
        <v>145</v>
      </c>
      <c r="B73" s="20"/>
      <c r="C73" s="20"/>
      <c r="D73" s="20"/>
      <c r="E73" s="21">
        <v>231298</v>
      </c>
      <c r="F73" s="22">
        <v>1</v>
      </c>
      <c r="G73" s="22">
        <v>1</v>
      </c>
      <c r="H73" s="23" t="s">
        <v>146</v>
      </c>
      <c r="I73" s="20" t="s">
        <v>77</v>
      </c>
      <c r="J73" s="20"/>
      <c r="P73" s="39" t="s">
        <v>243</v>
      </c>
      <c r="Q73" s="39">
        <v>231298</v>
      </c>
      <c r="R73" s="39">
        <v>1</v>
      </c>
      <c r="S73" s="40">
        <v>1</v>
      </c>
      <c r="T73" s="52">
        <v>46104.453472222223</v>
      </c>
      <c r="U73" s="42" t="s">
        <v>63</v>
      </c>
      <c r="V73" s="42" t="s">
        <v>188</v>
      </c>
      <c r="AP73" s="39" t="s">
        <v>243</v>
      </c>
      <c r="AQ73" s="39">
        <v>231298</v>
      </c>
      <c r="AR73" s="39">
        <v>1</v>
      </c>
      <c r="AS73" s="39">
        <v>1</v>
      </c>
      <c r="AT73" s="41">
        <v>46104.453472222223</v>
      </c>
      <c r="AU73" s="42" t="s">
        <v>63</v>
      </c>
    </row>
    <row r="74" spans="1:47" ht="13.5" customHeight="1" x14ac:dyDescent="0.2">
      <c r="A74" s="20" t="s">
        <v>145</v>
      </c>
      <c r="B74" s="20"/>
      <c r="C74" s="20"/>
      <c r="D74" s="20"/>
      <c r="E74" s="21">
        <v>231298</v>
      </c>
      <c r="F74" s="22">
        <v>2</v>
      </c>
      <c r="G74" s="22">
        <v>1</v>
      </c>
      <c r="H74" s="23" t="s">
        <v>147</v>
      </c>
      <c r="I74" s="20" t="s">
        <v>77</v>
      </c>
      <c r="J74" s="20"/>
      <c r="P74" s="39" t="s">
        <v>244</v>
      </c>
      <c r="Q74" s="39">
        <v>231298</v>
      </c>
      <c r="R74" s="39">
        <v>2</v>
      </c>
      <c r="S74" s="39">
        <v>1</v>
      </c>
      <c r="T74" s="52">
        <v>46104.272916666669</v>
      </c>
      <c r="U74" s="44" t="s">
        <v>63</v>
      </c>
      <c r="V74" s="44" t="s">
        <v>188</v>
      </c>
      <c r="AP74" s="39" t="s">
        <v>244</v>
      </c>
      <c r="AQ74" s="39">
        <v>231298</v>
      </c>
      <c r="AR74" s="39">
        <v>2</v>
      </c>
      <c r="AS74" s="39">
        <v>1</v>
      </c>
      <c r="AT74" s="41">
        <v>46101.335416666669</v>
      </c>
      <c r="AU74" s="42" t="s">
        <v>63</v>
      </c>
    </row>
    <row r="75" spans="1:47" ht="13.5" customHeight="1" x14ac:dyDescent="0.2">
      <c r="A75" s="20" t="s">
        <v>148</v>
      </c>
      <c r="B75" s="20"/>
      <c r="C75" s="20"/>
      <c r="D75" s="20"/>
      <c r="E75" s="21">
        <v>231299</v>
      </c>
      <c r="F75" s="22">
        <v>1</v>
      </c>
      <c r="G75" s="22">
        <v>1</v>
      </c>
      <c r="H75" s="23" t="s">
        <v>149</v>
      </c>
      <c r="I75" s="20" t="s">
        <v>150</v>
      </c>
      <c r="J75" s="20"/>
      <c r="P75" s="39" t="s">
        <v>245</v>
      </c>
      <c r="Q75" s="39">
        <v>231299</v>
      </c>
      <c r="R75" s="39">
        <v>1</v>
      </c>
      <c r="S75" s="39">
        <v>1</v>
      </c>
      <c r="T75" s="52">
        <v>46104.274305555555</v>
      </c>
      <c r="U75" s="44" t="s">
        <v>63</v>
      </c>
      <c r="V75" s="44" t="s">
        <v>188</v>
      </c>
      <c r="AP75" s="39" t="s">
        <v>245</v>
      </c>
      <c r="AQ75" s="39">
        <v>231299</v>
      </c>
      <c r="AR75" s="39">
        <v>1</v>
      </c>
      <c r="AS75" s="39">
        <v>1</v>
      </c>
      <c r="AT75" s="41">
        <v>46101.334722222222</v>
      </c>
      <c r="AU75" s="42" t="s">
        <v>63</v>
      </c>
    </row>
    <row r="76" spans="1:47" ht="13.5" customHeight="1" x14ac:dyDescent="0.2">
      <c r="A76" s="20" t="s">
        <v>151</v>
      </c>
      <c r="B76" s="20"/>
      <c r="C76" s="20"/>
      <c r="D76" s="20"/>
      <c r="E76" s="21">
        <v>231300</v>
      </c>
      <c r="F76" s="22">
        <v>1</v>
      </c>
      <c r="G76" s="22">
        <v>1</v>
      </c>
      <c r="H76" s="23" t="s">
        <v>152</v>
      </c>
      <c r="I76" s="20" t="s">
        <v>153</v>
      </c>
      <c r="J76" s="20"/>
      <c r="P76" s="39" t="s">
        <v>244</v>
      </c>
      <c r="Q76" s="39">
        <v>231300</v>
      </c>
      <c r="R76" s="39">
        <v>1</v>
      </c>
      <c r="S76" s="40">
        <v>1</v>
      </c>
      <c r="T76" s="52">
        <v>46104.271527777775</v>
      </c>
      <c r="U76" s="42" t="s">
        <v>63</v>
      </c>
      <c r="V76" s="42" t="s">
        <v>188</v>
      </c>
      <c r="AP76" s="39" t="s">
        <v>266</v>
      </c>
      <c r="AQ76" s="39">
        <v>231300</v>
      </c>
      <c r="AR76" s="39">
        <v>1</v>
      </c>
      <c r="AS76" s="39">
        <v>1</v>
      </c>
      <c r="AT76" s="41">
        <v>46101.338194444441</v>
      </c>
      <c r="AU76" s="42" t="s">
        <v>63</v>
      </c>
    </row>
    <row r="77" spans="1:47" ht="13.5" customHeight="1" x14ac:dyDescent="0.2">
      <c r="A77" s="20" t="s">
        <v>151</v>
      </c>
      <c r="B77" s="20"/>
      <c r="C77" s="20"/>
      <c r="D77" s="20"/>
      <c r="E77" s="21">
        <v>231300</v>
      </c>
      <c r="F77" s="22">
        <v>2</v>
      </c>
      <c r="G77" s="22">
        <v>1</v>
      </c>
      <c r="H77" s="23" t="s">
        <v>154</v>
      </c>
      <c r="I77" s="20" t="s">
        <v>153</v>
      </c>
      <c r="J77" s="20"/>
      <c r="P77" s="39" t="s">
        <v>246</v>
      </c>
      <c r="Q77" s="39">
        <v>231300</v>
      </c>
      <c r="R77" s="39">
        <v>2</v>
      </c>
      <c r="S77" s="40">
        <v>1</v>
      </c>
      <c r="T77" s="52">
        <v>46104.45416666667</v>
      </c>
      <c r="U77" s="42" t="s">
        <v>63</v>
      </c>
      <c r="V77" s="42" t="s">
        <v>188</v>
      </c>
      <c r="AP77" s="39" t="s">
        <v>246</v>
      </c>
      <c r="AQ77" s="39">
        <v>231300</v>
      </c>
      <c r="AR77" s="39">
        <v>2</v>
      </c>
      <c r="AS77" s="39">
        <v>1</v>
      </c>
      <c r="AT77" s="41">
        <v>46101.549305555556</v>
      </c>
      <c r="AU77" s="42" t="s">
        <v>63</v>
      </c>
    </row>
    <row r="78" spans="1:47" ht="13.5" customHeight="1" x14ac:dyDescent="0.2">
      <c r="A78" s="20" t="s">
        <v>155</v>
      </c>
      <c r="B78" s="20"/>
      <c r="C78" s="20"/>
      <c r="D78" s="20"/>
      <c r="E78" s="21">
        <v>231301</v>
      </c>
      <c r="F78" s="22">
        <v>1</v>
      </c>
      <c r="G78" s="22">
        <v>1</v>
      </c>
      <c r="H78" s="23" t="s">
        <v>156</v>
      </c>
      <c r="I78" s="20" t="s">
        <v>153</v>
      </c>
      <c r="J78" s="20"/>
      <c r="P78" s="39" t="s">
        <v>247</v>
      </c>
      <c r="Q78" s="39">
        <v>231301</v>
      </c>
      <c r="R78" s="39">
        <v>1</v>
      </c>
      <c r="S78" s="40">
        <v>1</v>
      </c>
      <c r="T78" s="52">
        <v>46104.273611111108</v>
      </c>
      <c r="U78" s="42" t="s">
        <v>63</v>
      </c>
      <c r="V78" s="42" t="s">
        <v>188</v>
      </c>
      <c r="AP78" s="39" t="s">
        <v>247</v>
      </c>
      <c r="AQ78" s="39">
        <v>231301</v>
      </c>
      <c r="AR78" s="39">
        <v>1</v>
      </c>
      <c r="AS78" s="39">
        <v>1</v>
      </c>
      <c r="AT78" s="41">
        <v>46101.336805555555</v>
      </c>
      <c r="AU78" s="42" t="s">
        <v>63</v>
      </c>
    </row>
    <row r="79" spans="1:47" ht="13.5" customHeight="1" x14ac:dyDescent="0.2">
      <c r="A79" s="20" t="s">
        <v>155</v>
      </c>
      <c r="B79" s="20"/>
      <c r="C79" s="20"/>
      <c r="D79" s="20"/>
      <c r="E79" s="21">
        <v>231301</v>
      </c>
      <c r="F79" s="22">
        <v>2</v>
      </c>
      <c r="G79" s="22">
        <v>1</v>
      </c>
      <c r="H79" s="23" t="s">
        <v>157</v>
      </c>
      <c r="I79" s="20" t="s">
        <v>153</v>
      </c>
      <c r="J79" s="20"/>
      <c r="P79" s="39" t="s">
        <v>248</v>
      </c>
      <c r="Q79" s="39">
        <v>231301</v>
      </c>
      <c r="R79" s="39">
        <v>2</v>
      </c>
      <c r="S79" s="40">
        <v>1</v>
      </c>
      <c r="T79" s="52">
        <v>46104.271527777775</v>
      </c>
      <c r="U79" s="42" t="s">
        <v>63</v>
      </c>
      <c r="V79" s="42" t="s">
        <v>188</v>
      </c>
      <c r="AP79" s="39" t="s">
        <v>248</v>
      </c>
      <c r="AQ79" s="39">
        <v>231301</v>
      </c>
      <c r="AR79" s="39">
        <v>2</v>
      </c>
      <c r="AS79" s="39">
        <v>1</v>
      </c>
      <c r="AT79" s="41">
        <v>46101.338194444441</v>
      </c>
      <c r="AU79" s="42" t="s">
        <v>63</v>
      </c>
    </row>
    <row r="80" spans="1:47" ht="13.5" customHeight="1" x14ac:dyDescent="0.2">
      <c r="A80" s="20" t="s">
        <v>158</v>
      </c>
      <c r="B80" s="20"/>
      <c r="C80" s="20"/>
      <c r="D80" s="20"/>
      <c r="E80" s="21">
        <v>231302</v>
      </c>
      <c r="F80" s="22">
        <v>1</v>
      </c>
      <c r="G80" s="22">
        <v>1</v>
      </c>
      <c r="H80" s="23" t="s">
        <v>159</v>
      </c>
      <c r="I80" s="20" t="s">
        <v>153</v>
      </c>
      <c r="J80" s="20"/>
      <c r="P80" s="39" t="s">
        <v>249</v>
      </c>
      <c r="Q80" s="39">
        <v>231302</v>
      </c>
      <c r="R80" s="39">
        <v>1</v>
      </c>
      <c r="S80" s="40">
        <v>1</v>
      </c>
      <c r="T80" s="52">
        <v>46104.272222222222</v>
      </c>
      <c r="U80" s="42" t="s">
        <v>63</v>
      </c>
      <c r="V80" s="42" t="s">
        <v>188</v>
      </c>
      <c r="AP80" s="39" t="s">
        <v>249</v>
      </c>
      <c r="AQ80" s="39">
        <v>231302</v>
      </c>
      <c r="AR80" s="39">
        <v>1</v>
      </c>
      <c r="AS80" s="39">
        <v>1</v>
      </c>
      <c r="AT80" s="41">
        <v>46101.337500000001</v>
      </c>
      <c r="AU80" s="42" t="s">
        <v>63</v>
      </c>
    </row>
    <row r="81" spans="1:47" ht="13.5" customHeight="1" x14ac:dyDescent="0.2">
      <c r="A81" s="20" t="s">
        <v>158</v>
      </c>
      <c r="B81" s="20"/>
      <c r="C81" s="20"/>
      <c r="D81" s="20"/>
      <c r="E81" s="21">
        <v>231302</v>
      </c>
      <c r="F81" s="22">
        <v>2</v>
      </c>
      <c r="G81" s="22">
        <v>1</v>
      </c>
      <c r="H81" s="23" t="s">
        <v>144</v>
      </c>
      <c r="I81" s="20" t="s">
        <v>153</v>
      </c>
      <c r="J81" s="20"/>
      <c r="P81" s="39" t="s">
        <v>250</v>
      </c>
      <c r="Q81" s="39">
        <v>231302</v>
      </c>
      <c r="R81" s="39">
        <v>2</v>
      </c>
      <c r="S81" s="40">
        <v>1</v>
      </c>
      <c r="T81" s="52">
        <v>46104.268750000003</v>
      </c>
      <c r="U81" s="42" t="s">
        <v>63</v>
      </c>
      <c r="V81" s="42" t="s">
        <v>188</v>
      </c>
      <c r="AP81" s="39" t="s">
        <v>250</v>
      </c>
      <c r="AQ81" s="39">
        <v>231302</v>
      </c>
      <c r="AR81" s="39">
        <v>2</v>
      </c>
      <c r="AS81" s="39">
        <v>1</v>
      </c>
      <c r="AT81" s="41">
        <v>46101.338194444441</v>
      </c>
      <c r="AU81" s="42" t="s">
        <v>63</v>
      </c>
    </row>
    <row r="82" spans="1:47" ht="13.5" customHeight="1" x14ac:dyDescent="0.2">
      <c r="A82" s="20" t="s">
        <v>160</v>
      </c>
      <c r="B82" s="20"/>
      <c r="C82" s="20"/>
      <c r="D82" s="20"/>
      <c r="E82" s="21">
        <v>231303</v>
      </c>
      <c r="F82" s="22">
        <v>1</v>
      </c>
      <c r="G82" s="22">
        <v>1</v>
      </c>
      <c r="H82" s="23" t="s">
        <v>161</v>
      </c>
      <c r="I82" s="20" t="s">
        <v>83</v>
      </c>
      <c r="J82" s="20"/>
      <c r="P82" s="39" t="s">
        <v>251</v>
      </c>
      <c r="Q82" s="39">
        <v>231303</v>
      </c>
      <c r="R82" s="39">
        <v>1</v>
      </c>
      <c r="S82" s="40">
        <v>1</v>
      </c>
      <c r="T82" s="52">
        <v>46104.263888888891</v>
      </c>
      <c r="U82" s="42" t="s">
        <v>63</v>
      </c>
      <c r="V82" s="42" t="s">
        <v>188</v>
      </c>
      <c r="AP82" s="39" t="s">
        <v>251</v>
      </c>
      <c r="AQ82" s="39">
        <v>231303</v>
      </c>
      <c r="AR82" s="39">
        <v>1</v>
      </c>
      <c r="AS82" s="39">
        <v>1</v>
      </c>
      <c r="AT82" s="41">
        <v>46101.333333333336</v>
      </c>
      <c r="AU82" s="42" t="s">
        <v>63</v>
      </c>
    </row>
    <row r="83" spans="1:47" ht="13.5" customHeight="1" x14ac:dyDescent="0.2">
      <c r="A83" s="20" t="s">
        <v>160</v>
      </c>
      <c r="B83" s="20"/>
      <c r="C83" s="20"/>
      <c r="D83" s="20"/>
      <c r="E83" s="21">
        <v>231303</v>
      </c>
      <c r="F83" s="22">
        <v>2</v>
      </c>
      <c r="G83" s="22">
        <v>1</v>
      </c>
      <c r="H83" s="23" t="s">
        <v>162</v>
      </c>
      <c r="I83" s="20" t="s">
        <v>83</v>
      </c>
      <c r="J83" s="20"/>
      <c r="P83" s="39" t="s">
        <v>252</v>
      </c>
      <c r="Q83" s="39">
        <v>231303</v>
      </c>
      <c r="R83" s="39">
        <v>2</v>
      </c>
      <c r="S83" s="40">
        <v>1</v>
      </c>
      <c r="T83" s="52">
        <v>46104.275000000001</v>
      </c>
      <c r="U83" s="42" t="s">
        <v>63</v>
      </c>
      <c r="V83" s="42" t="s">
        <v>188</v>
      </c>
      <c r="AP83" s="39" t="s">
        <v>252</v>
      </c>
      <c r="AQ83" s="39">
        <v>231303</v>
      </c>
      <c r="AR83" s="39">
        <v>2</v>
      </c>
      <c r="AS83" s="39">
        <v>1</v>
      </c>
      <c r="AT83" s="41">
        <v>46101.336111111108</v>
      </c>
      <c r="AU83" s="42" t="s">
        <v>63</v>
      </c>
    </row>
    <row r="84" spans="1:47" ht="13.5" customHeight="1" x14ac:dyDescent="0.2">
      <c r="A84" s="20" t="s">
        <v>160</v>
      </c>
      <c r="B84" s="20"/>
      <c r="C84" s="20"/>
      <c r="D84" s="20"/>
      <c r="E84" s="21">
        <v>231303</v>
      </c>
      <c r="F84" s="22">
        <v>3</v>
      </c>
      <c r="G84" s="22">
        <v>1</v>
      </c>
      <c r="H84" s="23" t="s">
        <v>163</v>
      </c>
      <c r="I84" s="20" t="s">
        <v>83</v>
      </c>
      <c r="J84" s="20"/>
      <c r="P84" s="39" t="s">
        <v>253</v>
      </c>
      <c r="Q84" s="39">
        <v>231303</v>
      </c>
      <c r="R84" s="39">
        <v>3</v>
      </c>
      <c r="S84" s="40">
        <v>1</v>
      </c>
      <c r="T84" s="52">
        <v>46104.273611111108</v>
      </c>
      <c r="U84" s="42" t="s">
        <v>63</v>
      </c>
      <c r="V84" s="42" t="s">
        <v>188</v>
      </c>
      <c r="AP84" s="39" t="s">
        <v>253</v>
      </c>
      <c r="AQ84" s="39">
        <v>231303</v>
      </c>
      <c r="AR84" s="39">
        <v>3</v>
      </c>
      <c r="AS84" s="39">
        <v>1</v>
      </c>
      <c r="AT84" s="41">
        <v>46101.336805555555</v>
      </c>
      <c r="AU84" s="42" t="s">
        <v>63</v>
      </c>
    </row>
    <row r="85" spans="1:47" ht="13.5" customHeight="1" x14ac:dyDescent="0.2">
      <c r="A85" s="20" t="s">
        <v>160</v>
      </c>
      <c r="B85" s="20"/>
      <c r="C85" s="20"/>
      <c r="D85" s="20"/>
      <c r="E85" s="21">
        <v>231303</v>
      </c>
      <c r="F85" s="22">
        <v>4</v>
      </c>
      <c r="G85" s="22">
        <v>1</v>
      </c>
      <c r="H85" s="23" t="s">
        <v>164</v>
      </c>
      <c r="I85" s="20" t="s">
        <v>83</v>
      </c>
      <c r="J85" s="20"/>
      <c r="P85" s="39"/>
      <c r="Q85" s="39"/>
      <c r="R85" s="39"/>
      <c r="S85" s="39"/>
      <c r="T85" s="52"/>
      <c r="U85" s="39"/>
      <c r="V85" s="39"/>
      <c r="AP85" s="39"/>
      <c r="AQ85" s="39"/>
      <c r="AR85" s="39"/>
      <c r="AS85" s="39"/>
      <c r="AT85" s="39"/>
      <c r="AU85" s="39"/>
    </row>
    <row r="86" spans="1:47" ht="13.5" customHeight="1" x14ac:dyDescent="0.2">
      <c r="A86" s="20" t="s">
        <v>165</v>
      </c>
      <c r="B86" s="20"/>
      <c r="C86" s="20"/>
      <c r="D86" s="20"/>
      <c r="E86" s="21">
        <v>231304</v>
      </c>
      <c r="F86" s="22">
        <v>1</v>
      </c>
      <c r="G86" s="22">
        <v>1</v>
      </c>
      <c r="H86" s="23" t="s">
        <v>166</v>
      </c>
      <c r="I86" s="20" t="s">
        <v>153</v>
      </c>
      <c r="J86" s="20"/>
      <c r="P86" s="39" t="s">
        <v>254</v>
      </c>
      <c r="Q86" s="39">
        <v>231304</v>
      </c>
      <c r="R86" s="39">
        <v>1</v>
      </c>
      <c r="S86" s="40">
        <v>1</v>
      </c>
      <c r="T86" s="52">
        <v>46104.275000000001</v>
      </c>
      <c r="U86" s="42" t="s">
        <v>63</v>
      </c>
      <c r="V86" s="42" t="s">
        <v>188</v>
      </c>
      <c r="AP86" s="39" t="s">
        <v>254</v>
      </c>
      <c r="AQ86" s="39">
        <v>231304</v>
      </c>
      <c r="AR86" s="39">
        <v>1</v>
      </c>
      <c r="AS86" s="39">
        <v>1</v>
      </c>
      <c r="AT86" s="41">
        <v>46101.336111111108</v>
      </c>
      <c r="AU86" s="42" t="s">
        <v>63</v>
      </c>
    </row>
    <row r="87" spans="1:47" ht="13.5" customHeight="1" x14ac:dyDescent="0.2">
      <c r="A87" s="20" t="s">
        <v>165</v>
      </c>
      <c r="B87" s="20"/>
      <c r="C87" s="20"/>
      <c r="D87" s="20"/>
      <c r="E87" s="21">
        <v>231304</v>
      </c>
      <c r="F87" s="22">
        <v>2</v>
      </c>
      <c r="G87" s="22">
        <v>1</v>
      </c>
      <c r="H87" s="23" t="s">
        <v>167</v>
      </c>
      <c r="I87" s="20" t="s">
        <v>153</v>
      </c>
      <c r="J87" s="20"/>
      <c r="P87" s="39" t="s">
        <v>255</v>
      </c>
      <c r="Q87" s="39">
        <v>231304</v>
      </c>
      <c r="R87" s="39">
        <v>2</v>
      </c>
      <c r="S87" s="40">
        <v>1</v>
      </c>
      <c r="T87" s="52">
        <v>46104.270833333336</v>
      </c>
      <c r="U87" s="42" t="s">
        <v>63</v>
      </c>
      <c r="V87" s="42" t="s">
        <v>188</v>
      </c>
      <c r="AP87" s="39" t="s">
        <v>255</v>
      </c>
      <c r="AQ87" s="39">
        <v>231304</v>
      </c>
      <c r="AR87" s="39">
        <v>2</v>
      </c>
      <c r="AS87" s="39">
        <v>1</v>
      </c>
      <c r="AT87" s="41">
        <v>46101.338194444441</v>
      </c>
      <c r="AU87" s="42" t="s">
        <v>63</v>
      </c>
    </row>
    <row r="88" spans="1:47" ht="13.5" customHeight="1" x14ac:dyDescent="0.2">
      <c r="A88" s="20" t="s">
        <v>165</v>
      </c>
      <c r="B88" s="20"/>
      <c r="C88" s="20"/>
      <c r="D88" s="20"/>
      <c r="E88" s="21">
        <v>231304</v>
      </c>
      <c r="F88" s="22">
        <v>3</v>
      </c>
      <c r="G88" s="22">
        <v>1</v>
      </c>
      <c r="H88" s="23" t="s">
        <v>168</v>
      </c>
      <c r="I88" s="20" t="s">
        <v>153</v>
      </c>
      <c r="J88" s="20"/>
      <c r="P88" s="39" t="s">
        <v>256</v>
      </c>
      <c r="Q88" s="39">
        <v>231304</v>
      </c>
      <c r="R88" s="39">
        <v>3</v>
      </c>
      <c r="S88" s="40">
        <v>1</v>
      </c>
      <c r="T88" s="52">
        <v>46104.267361111109</v>
      </c>
      <c r="U88" s="42" t="s">
        <v>63</v>
      </c>
      <c r="V88" s="42" t="s">
        <v>188</v>
      </c>
      <c r="AP88" s="39" t="s">
        <v>256</v>
      </c>
      <c r="AQ88" s="39">
        <v>231304</v>
      </c>
      <c r="AR88" s="39">
        <v>3</v>
      </c>
      <c r="AS88" s="39">
        <v>1</v>
      </c>
      <c r="AT88" s="41">
        <v>46101.338888888888</v>
      </c>
      <c r="AU88" s="42" t="s">
        <v>63</v>
      </c>
    </row>
    <row r="89" spans="1:47" ht="13.5" customHeight="1" x14ac:dyDescent="0.2">
      <c r="A89" s="20" t="s">
        <v>169</v>
      </c>
      <c r="B89" s="20"/>
      <c r="C89" s="20"/>
      <c r="D89" s="20"/>
      <c r="E89" s="21">
        <v>231305</v>
      </c>
      <c r="F89" s="22">
        <v>1</v>
      </c>
      <c r="G89" s="22">
        <v>1</v>
      </c>
      <c r="H89" s="23" t="s">
        <v>170</v>
      </c>
      <c r="I89" s="20" t="s">
        <v>153</v>
      </c>
      <c r="J89" s="20"/>
      <c r="P89" s="39" t="s">
        <v>257</v>
      </c>
      <c r="Q89" s="39">
        <v>231305</v>
      </c>
      <c r="R89" s="39">
        <v>1</v>
      </c>
      <c r="S89" s="40">
        <v>1</v>
      </c>
      <c r="T89" s="52">
        <v>46104.275694444441</v>
      </c>
      <c r="U89" s="42" t="s">
        <v>63</v>
      </c>
      <c r="V89" s="42" t="s">
        <v>188</v>
      </c>
      <c r="AP89" s="39" t="s">
        <v>257</v>
      </c>
      <c r="AQ89" s="39">
        <v>231305</v>
      </c>
      <c r="AR89" s="39">
        <v>1</v>
      </c>
      <c r="AS89" s="39">
        <v>1</v>
      </c>
      <c r="AT89" s="41">
        <v>46101.335416666669</v>
      </c>
      <c r="AU89" s="42" t="s">
        <v>63</v>
      </c>
    </row>
    <row r="90" spans="1:47" ht="13.5" customHeight="1" x14ac:dyDescent="0.2">
      <c r="A90" s="20" t="s">
        <v>169</v>
      </c>
      <c r="B90" s="20"/>
      <c r="C90" s="20"/>
      <c r="D90" s="20"/>
      <c r="E90" s="21">
        <v>231305</v>
      </c>
      <c r="F90" s="22">
        <v>2</v>
      </c>
      <c r="G90" s="22">
        <v>1</v>
      </c>
      <c r="H90" s="23" t="s">
        <v>171</v>
      </c>
      <c r="I90" s="20" t="s">
        <v>153</v>
      </c>
      <c r="J90" s="20"/>
      <c r="P90" s="39" t="s">
        <v>258</v>
      </c>
      <c r="Q90" s="39">
        <v>231305</v>
      </c>
      <c r="R90" s="39">
        <v>2</v>
      </c>
      <c r="S90" s="40">
        <v>1</v>
      </c>
      <c r="T90" s="52">
        <v>46104.272222222222</v>
      </c>
      <c r="U90" s="42" t="s">
        <v>63</v>
      </c>
      <c r="V90" s="42" t="s">
        <v>188</v>
      </c>
      <c r="AP90" s="39" t="s">
        <v>258</v>
      </c>
      <c r="AQ90" s="39">
        <v>231305</v>
      </c>
      <c r="AR90" s="39">
        <v>2</v>
      </c>
      <c r="AS90" s="39">
        <v>1</v>
      </c>
      <c r="AT90" s="41">
        <v>46101.337500000001</v>
      </c>
      <c r="AU90" s="42" t="s">
        <v>63</v>
      </c>
    </row>
    <row r="91" spans="1:47" ht="13.5" customHeight="1" x14ac:dyDescent="0.2">
      <c r="A91" s="20" t="s">
        <v>172</v>
      </c>
      <c r="B91" s="20"/>
      <c r="C91" s="20"/>
      <c r="D91" s="20"/>
      <c r="E91" s="21">
        <v>231307</v>
      </c>
      <c r="F91" s="22">
        <v>1</v>
      </c>
      <c r="G91" s="22">
        <v>1</v>
      </c>
      <c r="H91" s="23" t="s">
        <v>173</v>
      </c>
      <c r="I91" s="20" t="s">
        <v>174</v>
      </c>
      <c r="J91" s="20"/>
      <c r="P91" s="39" t="s">
        <v>259</v>
      </c>
      <c r="Q91" s="39">
        <v>231307</v>
      </c>
      <c r="R91" s="39">
        <v>1</v>
      </c>
      <c r="S91" s="40">
        <v>1</v>
      </c>
      <c r="T91" s="52">
        <v>46104.453472222223</v>
      </c>
      <c r="U91" s="42" t="s">
        <v>63</v>
      </c>
      <c r="V91" s="42" t="s">
        <v>188</v>
      </c>
      <c r="AP91" s="39" t="s">
        <v>259</v>
      </c>
      <c r="AQ91" s="39">
        <v>231307</v>
      </c>
      <c r="AR91" s="39">
        <v>1</v>
      </c>
      <c r="AS91" s="39">
        <v>1</v>
      </c>
      <c r="AT91" s="41">
        <v>46101.339583333334</v>
      </c>
      <c r="AU91" s="42" t="s">
        <v>63</v>
      </c>
    </row>
    <row r="92" spans="1:47" ht="13.5" customHeight="1" x14ac:dyDescent="0.2">
      <c r="A92" s="20" t="s">
        <v>175</v>
      </c>
      <c r="B92" s="20"/>
      <c r="C92" s="20"/>
      <c r="D92" s="20"/>
      <c r="E92" s="21">
        <v>231309</v>
      </c>
      <c r="F92" s="22">
        <v>1</v>
      </c>
      <c r="G92" s="22">
        <v>1</v>
      </c>
      <c r="H92" s="23" t="s">
        <v>176</v>
      </c>
      <c r="I92" s="20" t="s">
        <v>177</v>
      </c>
      <c r="J92" s="20"/>
      <c r="P92" s="39" t="s">
        <v>260</v>
      </c>
      <c r="Q92" s="39">
        <v>231309</v>
      </c>
      <c r="R92" s="39">
        <v>1</v>
      </c>
      <c r="S92" s="40">
        <v>1</v>
      </c>
      <c r="T92" s="52">
        <v>46104.272916666669</v>
      </c>
      <c r="U92" s="42" t="s">
        <v>63</v>
      </c>
      <c r="V92" s="42" t="s">
        <v>188</v>
      </c>
      <c r="AP92" s="39" t="s">
        <v>260</v>
      </c>
      <c r="AQ92" s="39">
        <v>231309</v>
      </c>
      <c r="AR92" s="39">
        <v>1</v>
      </c>
      <c r="AS92" s="39">
        <v>1</v>
      </c>
      <c r="AT92" s="41">
        <v>46101.336805555555</v>
      </c>
      <c r="AU92" s="42" t="s">
        <v>63</v>
      </c>
    </row>
    <row r="93" spans="1:47" ht="13.5" customHeight="1" x14ac:dyDescent="0.2">
      <c r="A93" s="20" t="s">
        <v>175</v>
      </c>
      <c r="B93" s="20"/>
      <c r="C93" s="20"/>
      <c r="D93" s="20"/>
      <c r="E93" s="21">
        <v>231309</v>
      </c>
      <c r="F93" s="22">
        <v>2</v>
      </c>
      <c r="G93" s="22">
        <v>1</v>
      </c>
      <c r="H93" s="23" t="s">
        <v>178</v>
      </c>
      <c r="I93" s="20" t="s">
        <v>177</v>
      </c>
      <c r="J93" s="20"/>
      <c r="P93" s="39" t="s">
        <v>261</v>
      </c>
      <c r="Q93" s="39">
        <v>231309</v>
      </c>
      <c r="R93" s="39">
        <v>2</v>
      </c>
      <c r="S93" s="40">
        <v>1</v>
      </c>
      <c r="T93" s="52">
        <v>46104.263194444444</v>
      </c>
      <c r="U93" s="42" t="s">
        <v>63</v>
      </c>
      <c r="V93" s="42" t="s">
        <v>188</v>
      </c>
      <c r="AP93" s="39" t="s">
        <v>261</v>
      </c>
      <c r="AQ93" s="39">
        <v>231309</v>
      </c>
      <c r="AR93" s="39">
        <v>2</v>
      </c>
      <c r="AS93" s="39">
        <v>1</v>
      </c>
      <c r="AT93" s="41">
        <v>46101.584027777775</v>
      </c>
      <c r="AU93" s="42" t="s">
        <v>63</v>
      </c>
    </row>
    <row r="94" spans="1:47" ht="13.5" customHeight="1" x14ac:dyDescent="0.2">
      <c r="A94" s="20" t="s">
        <v>175</v>
      </c>
      <c r="B94" s="20"/>
      <c r="C94" s="20"/>
      <c r="D94" s="20"/>
      <c r="E94" s="21">
        <v>231309</v>
      </c>
      <c r="F94" s="22">
        <v>3</v>
      </c>
      <c r="G94" s="22">
        <v>1</v>
      </c>
      <c r="H94" s="23" t="s">
        <v>179</v>
      </c>
      <c r="I94" s="20" t="s">
        <v>177</v>
      </c>
      <c r="J94" s="20"/>
      <c r="P94" s="39" t="s">
        <v>262</v>
      </c>
      <c r="Q94" s="39">
        <v>231309</v>
      </c>
      <c r="R94" s="39">
        <v>3</v>
      </c>
      <c r="S94" s="40">
        <v>1</v>
      </c>
      <c r="T94" s="52">
        <v>46104.45416666667</v>
      </c>
      <c r="U94" s="42" t="s">
        <v>63</v>
      </c>
      <c r="V94" s="42" t="s">
        <v>188</v>
      </c>
      <c r="AP94" s="39" t="s">
        <v>262</v>
      </c>
      <c r="AQ94" s="39">
        <v>231309</v>
      </c>
      <c r="AR94" s="39">
        <v>3</v>
      </c>
      <c r="AS94" s="39">
        <v>1</v>
      </c>
      <c r="AT94" s="41">
        <v>46101.538888888892</v>
      </c>
      <c r="AU94" s="42" t="s">
        <v>63</v>
      </c>
    </row>
    <row r="95" spans="1:47" ht="13.5" customHeight="1" x14ac:dyDescent="0.2">
      <c r="A95" s="20" t="s">
        <v>180</v>
      </c>
      <c r="B95" s="20"/>
      <c r="C95" s="20"/>
      <c r="D95" s="20"/>
      <c r="E95" s="21">
        <v>231473</v>
      </c>
      <c r="F95" s="22">
        <v>1</v>
      </c>
      <c r="G95" s="22">
        <v>1</v>
      </c>
      <c r="H95" s="23" t="s">
        <v>181</v>
      </c>
      <c r="I95" s="20" t="s">
        <v>46</v>
      </c>
      <c r="J95" s="20"/>
      <c r="P95" s="39" t="s">
        <v>263</v>
      </c>
      <c r="Q95" s="39">
        <v>231473</v>
      </c>
      <c r="R95" s="39">
        <v>1</v>
      </c>
      <c r="S95" s="40">
        <v>1</v>
      </c>
      <c r="T95" s="52">
        <v>46104.265972222223</v>
      </c>
      <c r="U95" s="42" t="s">
        <v>63</v>
      </c>
      <c r="V95" s="42" t="s">
        <v>188</v>
      </c>
      <c r="AP95" s="39" t="s">
        <v>263</v>
      </c>
      <c r="AQ95" s="39">
        <v>231473</v>
      </c>
      <c r="AR95" s="39">
        <v>1</v>
      </c>
      <c r="AS95" s="39">
        <v>1</v>
      </c>
      <c r="AT95" s="41">
        <v>46101.568749999999</v>
      </c>
      <c r="AU95" s="42" t="s">
        <v>63</v>
      </c>
    </row>
    <row r="96" spans="1:47" ht="13.5" customHeight="1" x14ac:dyDescent="0.2">
      <c r="A96" s="20" t="s">
        <v>182</v>
      </c>
      <c r="B96" s="20"/>
      <c r="C96" s="20"/>
      <c r="D96" s="20"/>
      <c r="E96" s="21">
        <v>231474</v>
      </c>
      <c r="F96" s="22">
        <v>2</v>
      </c>
      <c r="G96" s="22">
        <v>1</v>
      </c>
      <c r="H96" s="23" t="s">
        <v>183</v>
      </c>
      <c r="I96" s="20" t="s">
        <v>45</v>
      </c>
      <c r="J96" s="20"/>
      <c r="P96" s="39" t="s">
        <v>264</v>
      </c>
      <c r="Q96" s="39">
        <v>231474</v>
      </c>
      <c r="R96" s="39">
        <v>2</v>
      </c>
      <c r="S96" s="40">
        <v>1</v>
      </c>
      <c r="T96" s="52">
        <v>46104.265972222223</v>
      </c>
      <c r="U96" s="42" t="s">
        <v>63</v>
      </c>
      <c r="V96" s="42" t="s">
        <v>188</v>
      </c>
      <c r="AP96" s="39" t="s">
        <v>264</v>
      </c>
      <c r="AQ96" s="39">
        <v>231474</v>
      </c>
      <c r="AR96" s="39">
        <v>2</v>
      </c>
      <c r="AS96" s="39">
        <v>1</v>
      </c>
      <c r="AT96" s="41">
        <v>46101.582638888889</v>
      </c>
      <c r="AU96" s="42" t="s">
        <v>63</v>
      </c>
    </row>
    <row r="97" spans="1:47" ht="13.5" customHeight="1" x14ac:dyDescent="0.2">
      <c r="A97" s="20" t="s">
        <v>184</v>
      </c>
      <c r="B97" s="20"/>
      <c r="C97" s="20"/>
      <c r="D97" s="20"/>
      <c r="E97" s="21">
        <v>231475</v>
      </c>
      <c r="F97" s="22">
        <v>1</v>
      </c>
      <c r="G97" s="22">
        <v>1</v>
      </c>
      <c r="H97" s="23" t="s">
        <v>185</v>
      </c>
      <c r="I97" s="20" t="s">
        <v>186</v>
      </c>
      <c r="J97" s="20"/>
      <c r="P97" s="39" t="s">
        <v>265</v>
      </c>
      <c r="Q97" s="39">
        <v>231475</v>
      </c>
      <c r="R97" s="39">
        <v>1</v>
      </c>
      <c r="S97" s="40">
        <v>1</v>
      </c>
      <c r="T97" s="52">
        <v>46104.267361111109</v>
      </c>
      <c r="U97" s="42" t="s">
        <v>63</v>
      </c>
      <c r="V97" s="42" t="s">
        <v>188</v>
      </c>
      <c r="AP97" s="39" t="s">
        <v>265</v>
      </c>
      <c r="AQ97" s="39">
        <v>231475</v>
      </c>
      <c r="AR97" s="39">
        <v>1</v>
      </c>
      <c r="AS97" s="39">
        <v>1</v>
      </c>
      <c r="AT97" s="41">
        <v>46101.556250000001</v>
      </c>
      <c r="AU97" s="42" t="s">
        <v>63</v>
      </c>
    </row>
    <row r="98" spans="1:47" ht="12" customHeight="1" x14ac:dyDescent="0.2"/>
    <row r="99" spans="1:47" ht="12.95" customHeight="1" x14ac:dyDescent="0.2"/>
    <row r="100" spans="1:47" ht="15" customHeight="1" x14ac:dyDescent="0.2">
      <c r="J100" s="24"/>
      <c r="K100" s="25"/>
      <c r="L100" s="25"/>
      <c r="M100" s="25"/>
      <c r="N100" s="25"/>
    </row>
  </sheetData>
  <sheetProtection sheet="1" objects="1" scenarios="1" selectLockedCells="1"/>
  <mergeCells count="185">
    <mergeCell ref="A97:D97"/>
    <mergeCell ref="I97:J97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69:D69"/>
    <mergeCell ref="I69:J69"/>
    <mergeCell ref="A71:D71"/>
    <mergeCell ref="I71:J71"/>
    <mergeCell ref="A72:D72"/>
    <mergeCell ref="I72:J72"/>
    <mergeCell ref="A65:D65"/>
    <mergeCell ref="I65:J65"/>
    <mergeCell ref="A66:D66"/>
    <mergeCell ref="I66:J66"/>
    <mergeCell ref="A67:D67"/>
    <mergeCell ref="I67:J67"/>
    <mergeCell ref="A62:D62"/>
    <mergeCell ref="I62:J62"/>
    <mergeCell ref="A63:D63"/>
    <mergeCell ref="I63:J63"/>
    <mergeCell ref="A64:D64"/>
    <mergeCell ref="I64:J64"/>
    <mergeCell ref="A59:D59"/>
    <mergeCell ref="I59:J59"/>
    <mergeCell ref="A60:D60"/>
    <mergeCell ref="I60:J60"/>
    <mergeCell ref="A61:D61"/>
    <mergeCell ref="I61:J61"/>
    <mergeCell ref="A56:D56"/>
    <mergeCell ref="I56:J56"/>
    <mergeCell ref="A57:D57"/>
    <mergeCell ref="I57:J57"/>
    <mergeCell ref="A58:D58"/>
    <mergeCell ref="I58:J58"/>
    <mergeCell ref="A53:D53"/>
    <mergeCell ref="I53:J53"/>
    <mergeCell ref="A54:D54"/>
    <mergeCell ref="I54:J54"/>
    <mergeCell ref="A55:D55"/>
    <mergeCell ref="I55:J55"/>
    <mergeCell ref="A50:D50"/>
    <mergeCell ref="I50:J50"/>
    <mergeCell ref="A51:D51"/>
    <mergeCell ref="I51:J51"/>
    <mergeCell ref="A52:D52"/>
    <mergeCell ref="I52:J52"/>
    <mergeCell ref="A47:D47"/>
    <mergeCell ref="I47:J47"/>
    <mergeCell ref="A48:D48"/>
    <mergeCell ref="I48:J48"/>
    <mergeCell ref="A49:D49"/>
    <mergeCell ref="I49:J49"/>
    <mergeCell ref="A44:D44"/>
    <mergeCell ref="I44:J44"/>
    <mergeCell ref="A45:D45"/>
    <mergeCell ref="I45:J45"/>
    <mergeCell ref="A46:D46"/>
    <mergeCell ref="I46:J46"/>
    <mergeCell ref="A41:D41"/>
    <mergeCell ref="I41:J41"/>
    <mergeCell ref="A42:D42"/>
    <mergeCell ref="I42:J42"/>
    <mergeCell ref="A43:D43"/>
    <mergeCell ref="I43:J43"/>
    <mergeCell ref="A38:D38"/>
    <mergeCell ref="I38:J38"/>
    <mergeCell ref="A39:D39"/>
    <mergeCell ref="I39:J39"/>
    <mergeCell ref="A40:D40"/>
    <mergeCell ref="I40:J40"/>
    <mergeCell ref="A35:D35"/>
    <mergeCell ref="I35:J35"/>
    <mergeCell ref="A36:D36"/>
    <mergeCell ref="I36:J36"/>
    <mergeCell ref="A37:D37"/>
    <mergeCell ref="I37:J37"/>
    <mergeCell ref="A32:D32"/>
    <mergeCell ref="I32:J32"/>
    <mergeCell ref="A33:D33"/>
    <mergeCell ref="I33:J33"/>
    <mergeCell ref="A34:D34"/>
    <mergeCell ref="I34:J34"/>
    <mergeCell ref="A29:D29"/>
    <mergeCell ref="I29:J29"/>
    <mergeCell ref="A30:D30"/>
    <mergeCell ref="I30:J30"/>
    <mergeCell ref="A31:D31"/>
    <mergeCell ref="I31:J31"/>
    <mergeCell ref="A26:D26"/>
    <mergeCell ref="I26:J26"/>
    <mergeCell ref="A27:D27"/>
    <mergeCell ref="I27:J27"/>
    <mergeCell ref="A28:D28"/>
    <mergeCell ref="I28:J28"/>
    <mergeCell ref="A23:D23"/>
    <mergeCell ref="I23:J23"/>
    <mergeCell ref="A24:D24"/>
    <mergeCell ref="I24:J24"/>
    <mergeCell ref="A25:D25"/>
    <mergeCell ref="I25:J25"/>
    <mergeCell ref="A20:D20"/>
    <mergeCell ref="I20:J20"/>
    <mergeCell ref="A21:D21"/>
    <mergeCell ref="I21:J21"/>
    <mergeCell ref="A22:D22"/>
    <mergeCell ref="I22:J22"/>
    <mergeCell ref="A17:D17"/>
    <mergeCell ref="I17:J17"/>
    <mergeCell ref="A18:D18"/>
    <mergeCell ref="I18:J18"/>
    <mergeCell ref="A19:D19"/>
    <mergeCell ref="I19:J19"/>
    <mergeCell ref="A14:D14"/>
    <mergeCell ref="I14:J14"/>
    <mergeCell ref="A15:D15"/>
    <mergeCell ref="I15:J15"/>
    <mergeCell ref="A16:D16"/>
    <mergeCell ref="I16:J16"/>
    <mergeCell ref="A10:D10"/>
    <mergeCell ref="I10:J10"/>
    <mergeCell ref="A11:D11"/>
    <mergeCell ref="I11:J11"/>
    <mergeCell ref="A13:D13"/>
    <mergeCell ref="I13:J13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C9B6-0865-49B9-AEB8-5253177BDAFE}">
  <sheetPr codeName="Sheet4">
    <outlinePr summaryBelow="0" summaryRight="0"/>
    <pageSetUpPr autoPageBreaks="0"/>
  </sheetPr>
  <dimension ref="A1:AV100"/>
  <sheetViews>
    <sheetView topLeftCell="B1" workbookViewId="0">
      <pane ySplit="2" topLeftCell="A3" activePane="bottomLeft" state="frozenSplit"/>
      <selection pane="bottomLeft" activeCell="O3" sqref="O3:W3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5.140625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2" customWidth="1"/>
    <col min="16" max="16" width="20.7109375" style="4" customWidth="1"/>
    <col min="17" max="17" width="12.7109375" style="4" customWidth="1"/>
    <col min="18" max="18" width="10.7109375" style="4" customWidth="1"/>
    <col min="19" max="19" width="16.7109375" style="4" customWidth="1"/>
    <col min="20" max="20" width="25.7109375" style="5" customWidth="1"/>
    <col min="21" max="22" width="15.7109375" style="4" customWidth="1"/>
    <col min="23" max="23" width="20.7109375" style="4" customWidth="1"/>
    <col min="24" max="24" width="18.7109375" style="2" hidden="1" customWidth="1"/>
    <col min="25" max="27" width="20.7109375" style="4" hidden="1" customWidth="1"/>
    <col min="28" max="28" width="16.7109375" style="4" hidden="1" customWidth="1"/>
    <col min="29" max="29" width="25.7109375" style="5" hidden="1" customWidth="1"/>
    <col min="30" max="30" width="20.7109375" style="4" hidden="1" customWidth="1"/>
    <col min="31" max="31" width="2.7109375" style="4" hidden="1" customWidth="1"/>
    <col min="32" max="32" width="20.7109375" style="4" hidden="1" customWidth="1"/>
    <col min="33" max="33" width="15.7109375" style="4" hidden="1" customWidth="1"/>
    <col min="34" max="40" width="6.85546875" style="3" hidden="1" customWidth="1"/>
    <col min="41" max="41" width="18.7109375" style="2" hidden="1" customWidth="1"/>
    <col min="42" max="42" width="20.7109375" style="4" hidden="1" customWidth="1"/>
    <col min="43" max="43" width="12.7109375" style="4" hidden="1" customWidth="1"/>
    <col min="44" max="44" width="10.7109375" style="4" hidden="1" customWidth="1"/>
    <col min="45" max="45" width="16.7109375" style="4" hidden="1" customWidth="1"/>
    <col min="46" max="46" width="25.7109375" style="4" hidden="1" customWidth="1"/>
    <col min="47" max="47" width="15.7109375" style="4" hidden="1" customWidth="1"/>
    <col min="48" max="48" width="20.7109375" style="4" hidden="1" customWidth="1"/>
    <col min="49" max="16384" width="6.85546875" style="3" customWidth="1"/>
  </cols>
  <sheetData>
    <row r="1" spans="1:48" s="12" customFormat="1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O1" s="26"/>
      <c r="AP1" s="27"/>
      <c r="AQ1" s="27"/>
      <c r="AR1" s="27"/>
      <c r="AS1" s="27"/>
      <c r="AT1" s="27"/>
      <c r="AU1" s="27"/>
      <c r="AV1" s="27"/>
    </row>
    <row r="2" spans="1:48" s="12" customFormat="1" ht="24" customHeight="1" x14ac:dyDescent="0.2">
      <c r="D2" s="13" t="s">
        <v>0</v>
      </c>
      <c r="E2" s="13"/>
      <c r="F2" s="13"/>
      <c r="G2" s="13"/>
      <c r="H2" s="13"/>
      <c r="I2" s="14" t="s">
        <v>64</v>
      </c>
      <c r="J2" s="14"/>
      <c r="K2" s="14"/>
      <c r="L2" s="14"/>
      <c r="O2" s="53" t="str">
        <f ca="1">"Outbound: "&amp;SUMPRODUCT(SUBTOTAL(103,OFFSET($E$6,ROW($E$6:$E$97)-ROW($E$6),0,1)),--($U$6:$U$97="OK"),--($E$6:$E$97&lt;&gt;""))&amp;"/"&amp;SUMPRODUCT(SUBTOTAL(103,OFFSET($E$6,ROW($E$6:$E$97)-ROW($E$6),0,1)),--($E$6:$E$97&lt;&gt;""))&amp;" • "&amp;TEXT(IFERROR(SUMPRODUCT(SUBTOTAL(103,OFFSET($E$6,ROW($E$6:$E$97)-ROW($E$6),0,1)),--((($V$6:$V$97="On-Time")+($V$6:$V$97="Early"))&gt;0),--($E$6:$E$97&lt;&gt;""))/SUMPRODUCT(SUBTOTAL(103,OFFSET($E$6,ROW($E$6:$E$97)-ROW($E$6),0,1)),--($E$6:$E$97&lt;&gt;"")),0),"0.0%")&amp;" On Time"</f>
        <v>Outbound: 77/87 • 89.7% On Time</v>
      </c>
      <c r="P2" s="53"/>
      <c r="Q2" s="53"/>
      <c r="R2" s="53"/>
      <c r="S2" s="53"/>
      <c r="T2" s="53"/>
      <c r="U2" s="53"/>
      <c r="V2" s="53"/>
      <c r="W2" s="53"/>
      <c r="X2" s="54" t="str">
        <f ca="1">"Inbound: "&amp;SUMPRODUCT(SUBTOTAL(103,OFFSET($E$6,ROW($E$6:$E$97)-ROW($E$6),0,1)),--($AD$6:$AD$97="Received"),--($E$6:$E$97&lt;&gt;""))&amp;"/"&amp;SUMPRODUCT(SUBTOTAL(103,OFFSET($E$6,ROW($E$6:$E$97)-ROW($E$6),0,1)),--($E$6:$E$97&lt;&gt;""))&amp;" • "&amp;TEXT(IFERROR(SUMPRODUCT(SUBTOTAL(103,OFFSET($E$6,ROW($E$6:$E$97)-ROW($E$6),0,1)),--($AD$6:$AD$97="Received"),--($E$6:$E$97&lt;&gt;""))/SUMPRODUCT(SUBTOTAL(103,OFFSET($E$6,ROW($E$6:$E$97)-ROW($E$6),0,1)),--($E$6:$E$97&lt;&gt;"")),0),"0.0%")&amp;" Complete"</f>
        <v>Inbound: 0/87 • 0.0% Complete</v>
      </c>
      <c r="Y2" s="54"/>
      <c r="Z2" s="54"/>
      <c r="AA2" s="54"/>
      <c r="AB2" s="54"/>
      <c r="AC2" s="54"/>
      <c r="AD2" s="54"/>
      <c r="AE2" s="54"/>
      <c r="AF2" s="54"/>
      <c r="AG2" s="54"/>
      <c r="AO2" s="55" t="str">
        <f ca="1">"Staged: "&amp;SUMPRODUCT(SUBTOTAL(103,OFFSET($E$6,ROW($E$6:$E$97)-ROW($E$6),0,1)),--($AU$6:$AU$97="OK"),--($E$6:$E$97&lt;&gt;""))&amp;"/"&amp;SUMPRODUCT(SUBTOTAL(103,OFFSET($E$6,ROW($E$6:$E$97)-ROW($E$6),0,1)),--($E$6:$E$97&lt;&gt;""))&amp;" • "&amp;TEXT(IFERROR(SUMPRODUCT(SUBTOTAL(103,OFFSET($E$6,ROW($E$6:$E$97)-ROW($E$6),0,1)),--($AU$6:$AU$97="OK"),--($E$6:$E$97&lt;&gt;""))/SUMPRODUCT(SUBTOTAL(103,OFFSET($E$6,ROW($E$6:$E$97)-ROW($E$6),0,1)),--($E$6:$E$97&lt;&gt;"")),0),"0.0%")&amp;" Complete"</f>
        <v>Staged: 77/87 • 88.5% Complete</v>
      </c>
      <c r="AP2" s="55"/>
      <c r="AQ2" s="55"/>
      <c r="AR2" s="55"/>
      <c r="AS2" s="55"/>
      <c r="AT2" s="55"/>
      <c r="AU2" s="55"/>
      <c r="AV2" s="55"/>
    </row>
    <row r="3" spans="1:48" ht="85.5" customHeight="1" x14ac:dyDescent="0.2">
      <c r="O3" s="9" t="s">
        <v>39</v>
      </c>
      <c r="P3" s="10"/>
      <c r="Q3" s="10"/>
      <c r="R3" s="10"/>
      <c r="S3" s="10"/>
      <c r="T3" s="10"/>
      <c r="U3" s="10"/>
      <c r="V3" s="10"/>
      <c r="W3" s="10"/>
      <c r="X3" s="9" t="s">
        <v>41</v>
      </c>
      <c r="Y3" s="10"/>
      <c r="Z3" s="10"/>
      <c r="AA3" s="10"/>
      <c r="AB3" s="10"/>
      <c r="AC3" s="10"/>
      <c r="AD3" s="10"/>
      <c r="AE3" s="10"/>
      <c r="AF3" s="10"/>
      <c r="AG3" s="10"/>
      <c r="AO3" s="9" t="s">
        <v>40</v>
      </c>
      <c r="AP3" s="10"/>
      <c r="AQ3" s="10"/>
      <c r="AR3" s="10"/>
      <c r="AS3" s="10"/>
      <c r="AT3" s="10"/>
      <c r="AU3" s="10"/>
      <c r="AV3" s="10"/>
    </row>
    <row r="4" spans="1:48" ht="20.100000000000001" customHeight="1" x14ac:dyDescent="0.2">
      <c r="O4" s="6" t="s">
        <v>9</v>
      </c>
      <c r="P4" s="11"/>
      <c r="X4" s="6" t="s">
        <v>9</v>
      </c>
      <c r="Y4" s="11"/>
      <c r="AO4" s="6" t="s">
        <v>9</v>
      </c>
      <c r="AP4" s="11"/>
      <c r="AT4" s="5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62</v>
      </c>
      <c r="M5" s="18"/>
      <c r="P5" s="7" t="s">
        <v>10</v>
      </c>
      <c r="Q5" s="7" t="s">
        <v>2</v>
      </c>
      <c r="R5" s="7" t="s">
        <v>3</v>
      </c>
      <c r="S5" s="7" t="s">
        <v>11</v>
      </c>
      <c r="T5" s="8" t="s">
        <v>12</v>
      </c>
      <c r="U5" s="7" t="s">
        <v>13</v>
      </c>
      <c r="V5" s="7" t="s">
        <v>14</v>
      </c>
      <c r="W5" s="7" t="s">
        <v>15</v>
      </c>
      <c r="Y5" s="7" t="s">
        <v>16</v>
      </c>
      <c r="Z5" s="7" t="s">
        <v>17</v>
      </c>
      <c r="AA5" s="7" t="s">
        <v>18</v>
      </c>
      <c r="AB5" s="7" t="s">
        <v>19</v>
      </c>
      <c r="AC5" s="8" t="s">
        <v>20</v>
      </c>
      <c r="AD5" s="7" t="s">
        <v>21</v>
      </c>
      <c r="AE5" s="7"/>
      <c r="AF5" s="7" t="s">
        <v>15</v>
      </c>
      <c r="AG5" s="7" t="s">
        <v>22</v>
      </c>
      <c r="AP5" s="7" t="s">
        <v>10</v>
      </c>
      <c r="AQ5" s="7" t="s">
        <v>2</v>
      </c>
      <c r="AR5" s="7" t="s">
        <v>3</v>
      </c>
      <c r="AS5" s="7" t="s">
        <v>11</v>
      </c>
      <c r="AT5" s="7" t="s">
        <v>12</v>
      </c>
      <c r="AU5" s="7" t="s">
        <v>13</v>
      </c>
      <c r="AV5" s="7" t="s">
        <v>15</v>
      </c>
    </row>
    <row r="6" spans="1:48" ht="8.25" customHeight="1" x14ac:dyDescent="0.2"/>
    <row r="7" spans="1:48" ht="13.5" customHeight="1" x14ac:dyDescent="0.2">
      <c r="A7" s="19" t="s">
        <v>65</v>
      </c>
    </row>
    <row r="8" spans="1:48" ht="13.5" customHeight="1" x14ac:dyDescent="0.2">
      <c r="A8" s="20" t="s">
        <v>66</v>
      </c>
      <c r="B8" s="20"/>
      <c r="C8" s="20"/>
      <c r="D8" s="20"/>
      <c r="E8" s="21">
        <v>231414</v>
      </c>
      <c r="F8" s="22">
        <v>1</v>
      </c>
      <c r="G8" s="22">
        <v>1</v>
      </c>
      <c r="H8" s="23" t="s">
        <v>67</v>
      </c>
      <c r="I8" s="20" t="s">
        <v>68</v>
      </c>
      <c r="J8" s="20"/>
    </row>
    <row r="9" spans="1:48" ht="13.5" customHeight="1" x14ac:dyDescent="0.2">
      <c r="A9" s="20" t="s">
        <v>69</v>
      </c>
      <c r="B9" s="20"/>
      <c r="C9" s="20"/>
      <c r="D9" s="20"/>
      <c r="E9" s="21">
        <v>231415</v>
      </c>
      <c r="F9" s="22">
        <v>1</v>
      </c>
      <c r="G9" s="22">
        <v>1</v>
      </c>
      <c r="H9" s="23" t="s">
        <v>70</v>
      </c>
      <c r="I9" s="20" t="s">
        <v>71</v>
      </c>
      <c r="J9" s="20"/>
    </row>
    <row r="10" spans="1:48" ht="13.5" customHeight="1" x14ac:dyDescent="0.2">
      <c r="A10" s="20" t="s">
        <v>72</v>
      </c>
      <c r="B10" s="20"/>
      <c r="C10" s="20"/>
      <c r="D10" s="20"/>
      <c r="E10" s="21">
        <v>231416</v>
      </c>
      <c r="F10" s="22">
        <v>1</v>
      </c>
      <c r="G10" s="22">
        <v>1</v>
      </c>
      <c r="H10" s="23" t="s">
        <v>73</v>
      </c>
      <c r="I10" s="20" t="s">
        <v>71</v>
      </c>
      <c r="J10" s="20"/>
    </row>
    <row r="11" spans="1:48" ht="13.5" customHeight="1" x14ac:dyDescent="0.2">
      <c r="A11" s="20" t="s">
        <v>72</v>
      </c>
      <c r="B11" s="20"/>
      <c r="C11" s="20"/>
      <c r="D11" s="20"/>
      <c r="E11" s="21">
        <v>231416</v>
      </c>
      <c r="F11" s="22">
        <v>3</v>
      </c>
      <c r="G11" s="22">
        <v>1</v>
      </c>
      <c r="H11" s="23" t="s">
        <v>74</v>
      </c>
      <c r="I11" s="20" t="s">
        <v>71</v>
      </c>
      <c r="J11" s="20"/>
    </row>
    <row r="12" spans="1:48" ht="13.5" customHeight="1" x14ac:dyDescent="0.2">
      <c r="A12" s="19" t="s">
        <v>7</v>
      </c>
    </row>
    <row r="13" spans="1:48" ht="13.5" customHeight="1" x14ac:dyDescent="0.2">
      <c r="A13" s="20" t="s">
        <v>75</v>
      </c>
      <c r="B13" s="20"/>
      <c r="C13" s="20"/>
      <c r="D13" s="20"/>
      <c r="E13" s="21">
        <v>231338</v>
      </c>
      <c r="F13" s="22">
        <v>1</v>
      </c>
      <c r="G13" s="22">
        <v>1</v>
      </c>
      <c r="H13" s="23" t="s">
        <v>50</v>
      </c>
      <c r="I13" s="20" t="s">
        <v>27</v>
      </c>
      <c r="J13" s="20"/>
      <c r="P13" s="39" t="s">
        <v>187</v>
      </c>
      <c r="Q13" s="39">
        <v>231338</v>
      </c>
      <c r="R13" s="39">
        <v>1</v>
      </c>
      <c r="S13" s="40">
        <v>1</v>
      </c>
      <c r="T13" s="52">
        <v>46104.334027777775</v>
      </c>
      <c r="U13" s="42" t="s">
        <v>63</v>
      </c>
      <c r="V13" s="42" t="s">
        <v>188</v>
      </c>
      <c r="AP13" s="39" t="s">
        <v>187</v>
      </c>
      <c r="AQ13" s="39">
        <v>231338</v>
      </c>
      <c r="AR13" s="39">
        <v>1</v>
      </c>
      <c r="AS13" s="39">
        <v>1</v>
      </c>
      <c r="AT13" s="41">
        <v>46104.326388888891</v>
      </c>
      <c r="AU13" s="42" t="s">
        <v>63</v>
      </c>
    </row>
    <row r="14" spans="1:48" ht="13.5" customHeight="1" x14ac:dyDescent="0.2">
      <c r="A14" s="20" t="s">
        <v>76</v>
      </c>
      <c r="B14" s="20"/>
      <c r="C14" s="20"/>
      <c r="D14" s="20"/>
      <c r="E14" s="21">
        <v>231343</v>
      </c>
      <c r="F14" s="22">
        <v>1</v>
      </c>
      <c r="G14" s="22">
        <v>1</v>
      </c>
      <c r="H14" s="23" t="s">
        <v>29</v>
      </c>
      <c r="I14" s="20" t="s">
        <v>77</v>
      </c>
      <c r="J14" s="20"/>
      <c r="P14" s="39"/>
      <c r="Q14" s="39"/>
      <c r="R14" s="39"/>
      <c r="S14" s="39"/>
      <c r="T14" s="52"/>
      <c r="U14" s="39"/>
      <c r="V14" s="39"/>
      <c r="AP14" s="39"/>
      <c r="AQ14" s="39"/>
      <c r="AR14" s="39"/>
      <c r="AS14" s="39"/>
      <c r="AT14" s="39"/>
      <c r="AU14" s="39"/>
    </row>
    <row r="15" spans="1:48" ht="13.5" customHeight="1" x14ac:dyDescent="0.2">
      <c r="A15" s="20" t="s">
        <v>78</v>
      </c>
      <c r="B15" s="20"/>
      <c r="C15" s="20"/>
      <c r="D15" s="20"/>
      <c r="E15" s="21">
        <v>231449</v>
      </c>
      <c r="F15" s="22">
        <v>1</v>
      </c>
      <c r="G15" s="22">
        <v>1</v>
      </c>
      <c r="H15" s="23" t="s">
        <v>79</v>
      </c>
      <c r="I15" s="20" t="s">
        <v>54</v>
      </c>
      <c r="J15" s="20"/>
      <c r="P15" s="39" t="s">
        <v>189</v>
      </c>
      <c r="Q15" s="39">
        <v>231449</v>
      </c>
      <c r="R15" s="39">
        <v>1</v>
      </c>
      <c r="S15" s="40">
        <v>1</v>
      </c>
      <c r="T15" s="52">
        <v>46104.574999999997</v>
      </c>
      <c r="U15" s="42" t="s">
        <v>63</v>
      </c>
      <c r="V15" s="42" t="s">
        <v>188</v>
      </c>
      <c r="AP15" s="39" t="s">
        <v>189</v>
      </c>
      <c r="AQ15" s="39">
        <v>231449</v>
      </c>
      <c r="AR15" s="39">
        <v>1</v>
      </c>
      <c r="AS15" s="39">
        <v>1</v>
      </c>
      <c r="AT15" s="41">
        <v>46104.433333333334</v>
      </c>
      <c r="AU15" s="42" t="s">
        <v>63</v>
      </c>
    </row>
    <row r="16" spans="1:48" ht="13.5" customHeight="1" x14ac:dyDescent="0.2">
      <c r="A16" s="20" t="s">
        <v>80</v>
      </c>
      <c r="B16" s="20"/>
      <c r="C16" s="20"/>
      <c r="D16" s="20"/>
      <c r="E16" s="21">
        <v>231450</v>
      </c>
      <c r="F16" s="22">
        <v>1</v>
      </c>
      <c r="G16" s="22">
        <v>1</v>
      </c>
      <c r="H16" s="23" t="s">
        <v>23</v>
      </c>
      <c r="I16" s="20" t="s">
        <v>24</v>
      </c>
      <c r="J16" s="20"/>
      <c r="P16" s="39" t="s">
        <v>190</v>
      </c>
      <c r="Q16" s="39">
        <v>231450</v>
      </c>
      <c r="R16" s="39">
        <v>1</v>
      </c>
      <c r="S16" s="40">
        <v>1</v>
      </c>
      <c r="T16" s="52">
        <v>46104.349305555559</v>
      </c>
      <c r="U16" s="42" t="s">
        <v>63</v>
      </c>
      <c r="V16" s="42" t="s">
        <v>188</v>
      </c>
      <c r="AP16" s="39" t="s">
        <v>190</v>
      </c>
      <c r="AQ16" s="39">
        <v>231450</v>
      </c>
      <c r="AR16" s="39">
        <v>1</v>
      </c>
      <c r="AS16" s="39">
        <v>1</v>
      </c>
      <c r="AT16" s="41">
        <v>46104.335416666669</v>
      </c>
      <c r="AU16" s="42" t="s">
        <v>63</v>
      </c>
    </row>
    <row r="17" spans="1:47" ht="13.5" customHeight="1" x14ac:dyDescent="0.2">
      <c r="A17" s="20" t="s">
        <v>80</v>
      </c>
      <c r="B17" s="20"/>
      <c r="C17" s="20"/>
      <c r="D17" s="20"/>
      <c r="E17" s="21">
        <v>231450</v>
      </c>
      <c r="F17" s="22">
        <v>2</v>
      </c>
      <c r="G17" s="22">
        <v>2</v>
      </c>
      <c r="H17" s="23" t="s">
        <v>25</v>
      </c>
      <c r="I17" s="20" t="s">
        <v>24</v>
      </c>
      <c r="J17" s="20"/>
      <c r="P17" s="39" t="s">
        <v>191</v>
      </c>
      <c r="Q17" s="39">
        <v>231450</v>
      </c>
      <c r="R17" s="39">
        <v>2</v>
      </c>
      <c r="S17" s="40">
        <v>2</v>
      </c>
      <c r="T17" s="52">
        <v>46104.350694444445</v>
      </c>
      <c r="U17" s="42" t="s">
        <v>63</v>
      </c>
      <c r="V17" s="42" t="s">
        <v>188</v>
      </c>
      <c r="AP17" s="39" t="s">
        <v>191</v>
      </c>
      <c r="AQ17" s="39">
        <v>231450</v>
      </c>
      <c r="AR17" s="39">
        <v>2</v>
      </c>
      <c r="AS17" s="39">
        <v>2</v>
      </c>
      <c r="AT17" s="41">
        <v>46104.334027777775</v>
      </c>
      <c r="AU17" s="42" t="s">
        <v>63</v>
      </c>
    </row>
    <row r="18" spans="1:47" ht="13.5" customHeight="1" x14ac:dyDescent="0.2">
      <c r="A18" s="20" t="s">
        <v>81</v>
      </c>
      <c r="B18" s="20"/>
      <c r="C18" s="20"/>
      <c r="D18" s="20"/>
      <c r="E18" s="21">
        <v>231451</v>
      </c>
      <c r="F18" s="22">
        <v>1</v>
      </c>
      <c r="G18" s="22">
        <v>1</v>
      </c>
      <c r="H18" s="23" t="s">
        <v>82</v>
      </c>
      <c r="I18" s="20" t="s">
        <v>83</v>
      </c>
      <c r="J18" s="20"/>
      <c r="P18" s="39" t="s">
        <v>192</v>
      </c>
      <c r="Q18" s="39">
        <v>231451</v>
      </c>
      <c r="R18" s="39">
        <v>1</v>
      </c>
      <c r="S18" s="40">
        <v>1</v>
      </c>
      <c r="T18" s="52">
        <v>46104.392361111109</v>
      </c>
      <c r="U18" s="42" t="s">
        <v>63</v>
      </c>
      <c r="V18" s="42" t="s">
        <v>188</v>
      </c>
      <c r="AP18" s="39" t="s">
        <v>192</v>
      </c>
      <c r="AQ18" s="39">
        <v>231451</v>
      </c>
      <c r="AR18" s="39">
        <v>1</v>
      </c>
      <c r="AS18" s="39">
        <v>1</v>
      </c>
      <c r="AT18" s="41">
        <v>46104.392361111109</v>
      </c>
      <c r="AU18" s="42" t="s">
        <v>63</v>
      </c>
    </row>
    <row r="19" spans="1:47" ht="13.5" customHeight="1" x14ac:dyDescent="0.2">
      <c r="A19" s="20" t="s">
        <v>81</v>
      </c>
      <c r="B19" s="20"/>
      <c r="C19" s="20"/>
      <c r="D19" s="20"/>
      <c r="E19" s="21">
        <v>231451</v>
      </c>
      <c r="F19" s="22">
        <v>2</v>
      </c>
      <c r="G19" s="22">
        <v>1</v>
      </c>
      <c r="H19" s="23" t="s">
        <v>28</v>
      </c>
      <c r="I19" s="20" t="s">
        <v>83</v>
      </c>
      <c r="J19" s="20"/>
      <c r="P19" s="39" t="s">
        <v>193</v>
      </c>
      <c r="Q19" s="39">
        <v>231451</v>
      </c>
      <c r="R19" s="39">
        <v>2</v>
      </c>
      <c r="S19" s="40">
        <v>1</v>
      </c>
      <c r="T19" s="52">
        <v>46104.574999999997</v>
      </c>
      <c r="U19" s="42" t="s">
        <v>63</v>
      </c>
      <c r="V19" s="42" t="s">
        <v>188</v>
      </c>
      <c r="AP19" s="39" t="s">
        <v>193</v>
      </c>
      <c r="AQ19" s="39">
        <v>231451</v>
      </c>
      <c r="AR19" s="39">
        <v>2</v>
      </c>
      <c r="AS19" s="39">
        <v>1</v>
      </c>
      <c r="AT19" s="41">
        <v>46104.434027777781</v>
      </c>
      <c r="AU19" s="42" t="s">
        <v>63</v>
      </c>
    </row>
    <row r="20" spans="1:47" ht="13.5" customHeight="1" x14ac:dyDescent="0.2">
      <c r="A20" s="20" t="s">
        <v>84</v>
      </c>
      <c r="B20" s="20"/>
      <c r="C20" s="20"/>
      <c r="D20" s="20"/>
      <c r="E20" s="21">
        <v>231452</v>
      </c>
      <c r="F20" s="22">
        <v>1</v>
      </c>
      <c r="G20" s="22">
        <v>4</v>
      </c>
      <c r="H20" s="23" t="s">
        <v>23</v>
      </c>
      <c r="I20" s="20" t="s">
        <v>24</v>
      </c>
      <c r="J20" s="20"/>
      <c r="P20" s="39" t="s">
        <v>194</v>
      </c>
      <c r="Q20" s="39">
        <v>231452</v>
      </c>
      <c r="R20" s="39">
        <v>1</v>
      </c>
      <c r="S20" s="40">
        <v>4</v>
      </c>
      <c r="T20" s="52">
        <v>46104.349305555559</v>
      </c>
      <c r="U20" s="42" t="s">
        <v>63</v>
      </c>
      <c r="V20" s="42" t="s">
        <v>188</v>
      </c>
      <c r="AP20" s="39" t="s">
        <v>194</v>
      </c>
      <c r="AQ20" s="39">
        <v>231452</v>
      </c>
      <c r="AR20" s="39">
        <v>1</v>
      </c>
      <c r="AS20" s="39">
        <v>4</v>
      </c>
      <c r="AT20" s="41">
        <v>46104.335416666669</v>
      </c>
      <c r="AU20" s="42" t="s">
        <v>63</v>
      </c>
    </row>
    <row r="21" spans="1:47" ht="13.5" customHeight="1" x14ac:dyDescent="0.2">
      <c r="A21" s="20" t="s">
        <v>84</v>
      </c>
      <c r="B21" s="20"/>
      <c r="C21" s="20"/>
      <c r="D21" s="20"/>
      <c r="E21" s="21">
        <v>231452</v>
      </c>
      <c r="F21" s="22">
        <v>2</v>
      </c>
      <c r="G21" s="22">
        <v>2</v>
      </c>
      <c r="H21" s="23" t="s">
        <v>25</v>
      </c>
      <c r="I21" s="20" t="s">
        <v>24</v>
      </c>
      <c r="J21" s="20"/>
      <c r="P21" s="39" t="s">
        <v>195</v>
      </c>
      <c r="Q21" s="39">
        <v>231452</v>
      </c>
      <c r="R21" s="39">
        <v>2</v>
      </c>
      <c r="S21" s="40">
        <v>2</v>
      </c>
      <c r="T21" s="52">
        <v>46104.352083333331</v>
      </c>
      <c r="U21" s="42" t="s">
        <v>63</v>
      </c>
      <c r="V21" s="42" t="s">
        <v>188</v>
      </c>
      <c r="AP21" s="39" t="s">
        <v>195</v>
      </c>
      <c r="AQ21" s="39">
        <v>231452</v>
      </c>
      <c r="AR21" s="39">
        <v>2</v>
      </c>
      <c r="AS21" s="39">
        <v>2</v>
      </c>
      <c r="AT21" s="41">
        <v>46104.334722222222</v>
      </c>
      <c r="AU21" s="42" t="s">
        <v>63</v>
      </c>
    </row>
    <row r="22" spans="1:47" ht="13.5" customHeight="1" x14ac:dyDescent="0.2">
      <c r="A22" s="20" t="s">
        <v>85</v>
      </c>
      <c r="B22" s="20"/>
      <c r="C22" s="20"/>
      <c r="D22" s="20"/>
      <c r="E22" s="21">
        <v>231453</v>
      </c>
      <c r="F22" s="22">
        <v>1</v>
      </c>
      <c r="G22" s="22">
        <v>4</v>
      </c>
      <c r="H22" s="23" t="s">
        <v>23</v>
      </c>
      <c r="I22" s="20" t="s">
        <v>24</v>
      </c>
      <c r="J22" s="20"/>
      <c r="P22" s="39" t="s">
        <v>196</v>
      </c>
      <c r="Q22" s="39">
        <v>231453</v>
      </c>
      <c r="R22" s="39">
        <v>1</v>
      </c>
      <c r="S22" s="40">
        <v>4</v>
      </c>
      <c r="T22" s="52">
        <v>46104.348611111112</v>
      </c>
      <c r="U22" s="42" t="s">
        <v>63</v>
      </c>
      <c r="V22" s="42" t="s">
        <v>188</v>
      </c>
      <c r="AP22" s="39" t="s">
        <v>196</v>
      </c>
      <c r="AQ22" s="39">
        <v>231453</v>
      </c>
      <c r="AR22" s="39">
        <v>1</v>
      </c>
      <c r="AS22" s="39">
        <v>4</v>
      </c>
      <c r="AT22" s="41">
        <v>46104.335416666669</v>
      </c>
      <c r="AU22" s="42" t="s">
        <v>63</v>
      </c>
    </row>
    <row r="23" spans="1:47" ht="13.5" customHeight="1" x14ac:dyDescent="0.2">
      <c r="A23" s="20" t="s">
        <v>85</v>
      </c>
      <c r="B23" s="20"/>
      <c r="C23" s="20"/>
      <c r="D23" s="20"/>
      <c r="E23" s="21">
        <v>231453</v>
      </c>
      <c r="F23" s="22">
        <v>2</v>
      </c>
      <c r="G23" s="22">
        <v>2</v>
      </c>
      <c r="H23" s="23" t="s">
        <v>25</v>
      </c>
      <c r="I23" s="20" t="s">
        <v>24</v>
      </c>
      <c r="J23" s="20"/>
      <c r="P23" s="39" t="s">
        <v>197</v>
      </c>
      <c r="Q23" s="39">
        <v>231453</v>
      </c>
      <c r="R23" s="39">
        <v>2</v>
      </c>
      <c r="S23" s="40">
        <v>1</v>
      </c>
      <c r="T23" s="52">
        <v>46104.351388888892</v>
      </c>
      <c r="U23" s="43" t="s">
        <v>198</v>
      </c>
      <c r="V23" s="42" t="s">
        <v>188</v>
      </c>
      <c r="AP23" s="39" t="s">
        <v>197</v>
      </c>
      <c r="AQ23" s="39">
        <v>231453</v>
      </c>
      <c r="AR23" s="39">
        <v>2</v>
      </c>
      <c r="AS23" s="39">
        <v>1</v>
      </c>
      <c r="AT23" s="41">
        <v>46104.351388888892</v>
      </c>
      <c r="AU23" s="43" t="s">
        <v>198</v>
      </c>
    </row>
    <row r="24" spans="1:47" ht="13.5" customHeight="1" x14ac:dyDescent="0.2">
      <c r="A24" s="20" t="s">
        <v>86</v>
      </c>
      <c r="B24" s="20"/>
      <c r="C24" s="20"/>
      <c r="D24" s="20"/>
      <c r="E24" s="21">
        <v>231454</v>
      </c>
      <c r="F24" s="22">
        <v>1</v>
      </c>
      <c r="G24" s="22">
        <v>2</v>
      </c>
      <c r="H24" s="23" t="s">
        <v>23</v>
      </c>
      <c r="I24" s="20" t="s">
        <v>24</v>
      </c>
      <c r="J24" s="20"/>
      <c r="P24" s="39" t="s">
        <v>199</v>
      </c>
      <c r="Q24" s="39">
        <v>231454</v>
      </c>
      <c r="R24" s="39">
        <v>1</v>
      </c>
      <c r="S24" s="40">
        <v>2</v>
      </c>
      <c r="T24" s="52">
        <v>46104.348611111112</v>
      </c>
      <c r="U24" s="42" t="s">
        <v>63</v>
      </c>
      <c r="V24" s="42" t="s">
        <v>188</v>
      </c>
      <c r="AP24" s="39" t="s">
        <v>199</v>
      </c>
      <c r="AQ24" s="39">
        <v>231454</v>
      </c>
      <c r="AR24" s="39">
        <v>1</v>
      </c>
      <c r="AS24" s="39">
        <v>2</v>
      </c>
      <c r="AT24" s="41">
        <v>46104.335416666669</v>
      </c>
      <c r="AU24" s="42" t="s">
        <v>63</v>
      </c>
    </row>
    <row r="25" spans="1:47" ht="13.5" customHeight="1" x14ac:dyDescent="0.2">
      <c r="A25" s="20" t="s">
        <v>86</v>
      </c>
      <c r="B25" s="20"/>
      <c r="C25" s="20"/>
      <c r="D25" s="20"/>
      <c r="E25" s="21">
        <v>231454</v>
      </c>
      <c r="F25" s="22">
        <v>2</v>
      </c>
      <c r="G25" s="22">
        <v>4</v>
      </c>
      <c r="H25" s="23" t="s">
        <v>25</v>
      </c>
      <c r="I25" s="20" t="s">
        <v>24</v>
      </c>
      <c r="J25" s="20"/>
      <c r="P25" s="39" t="s">
        <v>200</v>
      </c>
      <c r="Q25" s="39">
        <v>231454</v>
      </c>
      <c r="R25" s="39">
        <v>2</v>
      </c>
      <c r="S25" s="40">
        <v>4</v>
      </c>
      <c r="T25" s="52">
        <v>46104.353472222225</v>
      </c>
      <c r="U25" s="42" t="s">
        <v>63</v>
      </c>
      <c r="V25" s="42" t="s">
        <v>188</v>
      </c>
      <c r="AP25" s="39" t="s">
        <v>200</v>
      </c>
      <c r="AQ25" s="39">
        <v>231454</v>
      </c>
      <c r="AR25" s="39">
        <v>2</v>
      </c>
      <c r="AS25" s="39">
        <v>4</v>
      </c>
      <c r="AT25" s="41">
        <v>46104.336111111108</v>
      </c>
      <c r="AU25" s="42" t="s">
        <v>63</v>
      </c>
    </row>
    <row r="26" spans="1:47" ht="13.5" customHeight="1" x14ac:dyDescent="0.2">
      <c r="A26" s="20" t="s">
        <v>87</v>
      </c>
      <c r="B26" s="20"/>
      <c r="C26" s="20"/>
      <c r="D26" s="20"/>
      <c r="E26" s="21">
        <v>231455</v>
      </c>
      <c r="F26" s="22">
        <v>1</v>
      </c>
      <c r="G26" s="22">
        <v>4</v>
      </c>
      <c r="H26" s="23" t="s">
        <v>25</v>
      </c>
      <c r="I26" s="20" t="s">
        <v>24</v>
      </c>
      <c r="J26" s="20"/>
      <c r="P26" s="39" t="s">
        <v>201</v>
      </c>
      <c r="Q26" s="39">
        <v>231455</v>
      </c>
      <c r="R26" s="39">
        <v>1</v>
      </c>
      <c r="S26" s="40">
        <v>4</v>
      </c>
      <c r="T26" s="52">
        <v>46104.352777777778</v>
      </c>
      <c r="U26" s="42" t="s">
        <v>63</v>
      </c>
      <c r="V26" s="42" t="s">
        <v>188</v>
      </c>
      <c r="AP26" s="39" t="s">
        <v>201</v>
      </c>
      <c r="AQ26" s="39">
        <v>231455</v>
      </c>
      <c r="AR26" s="39">
        <v>1</v>
      </c>
      <c r="AS26" s="39">
        <v>4</v>
      </c>
      <c r="AT26" s="41">
        <v>46104.334722222222</v>
      </c>
      <c r="AU26" s="42" t="s">
        <v>63</v>
      </c>
    </row>
    <row r="27" spans="1:47" ht="13.5" customHeight="1" x14ac:dyDescent="0.2">
      <c r="A27" s="20" t="s">
        <v>88</v>
      </c>
      <c r="B27" s="20"/>
      <c r="C27" s="20"/>
      <c r="D27" s="20"/>
      <c r="E27" s="21">
        <v>231457</v>
      </c>
      <c r="F27" s="22">
        <v>1</v>
      </c>
      <c r="G27" s="22">
        <v>1</v>
      </c>
      <c r="H27" s="23" t="s">
        <v>89</v>
      </c>
      <c r="I27" s="20" t="s">
        <v>26</v>
      </c>
      <c r="J27" s="20"/>
      <c r="P27" s="39" t="s">
        <v>202</v>
      </c>
      <c r="Q27" s="39">
        <v>231457</v>
      </c>
      <c r="R27" s="39">
        <v>1</v>
      </c>
      <c r="S27" s="40">
        <v>1</v>
      </c>
      <c r="T27" s="52">
        <v>46104.38958333333</v>
      </c>
      <c r="U27" s="42" t="s">
        <v>63</v>
      </c>
      <c r="V27" s="42" t="s">
        <v>188</v>
      </c>
      <c r="AP27" s="39" t="s">
        <v>202</v>
      </c>
      <c r="AQ27" s="39">
        <v>231457</v>
      </c>
      <c r="AR27" s="39">
        <v>1</v>
      </c>
      <c r="AS27" s="39">
        <v>1</v>
      </c>
      <c r="AT27" s="41">
        <v>46104.38958333333</v>
      </c>
      <c r="AU27" s="42" t="s">
        <v>63</v>
      </c>
    </row>
    <row r="28" spans="1:47" ht="13.5" customHeight="1" x14ac:dyDescent="0.2">
      <c r="A28" s="20" t="s">
        <v>88</v>
      </c>
      <c r="B28" s="20"/>
      <c r="C28" s="20"/>
      <c r="D28" s="20"/>
      <c r="E28" s="21">
        <v>231457</v>
      </c>
      <c r="F28" s="22">
        <v>2</v>
      </c>
      <c r="G28" s="22">
        <v>1</v>
      </c>
      <c r="H28" s="23" t="s">
        <v>90</v>
      </c>
      <c r="I28" s="20" t="s">
        <v>26</v>
      </c>
      <c r="J28" s="20"/>
      <c r="P28" s="39" t="s">
        <v>203</v>
      </c>
      <c r="Q28" s="39">
        <v>231457</v>
      </c>
      <c r="R28" s="39">
        <v>2</v>
      </c>
      <c r="S28" s="40">
        <v>1</v>
      </c>
      <c r="T28" s="52">
        <v>46104.39166666667</v>
      </c>
      <c r="U28" s="42" t="s">
        <v>63</v>
      </c>
      <c r="V28" s="42" t="s">
        <v>188</v>
      </c>
      <c r="AP28" s="39" t="s">
        <v>203</v>
      </c>
      <c r="AQ28" s="39">
        <v>231457</v>
      </c>
      <c r="AR28" s="39">
        <v>2</v>
      </c>
      <c r="AS28" s="39">
        <v>1</v>
      </c>
      <c r="AT28" s="41">
        <v>46104.39166666667</v>
      </c>
      <c r="AU28" s="42" t="s">
        <v>63</v>
      </c>
    </row>
    <row r="29" spans="1:47" ht="13.5" customHeight="1" x14ac:dyDescent="0.2">
      <c r="A29" s="20" t="s">
        <v>91</v>
      </c>
      <c r="B29" s="20"/>
      <c r="C29" s="20"/>
      <c r="D29" s="20"/>
      <c r="E29" s="21">
        <v>231458</v>
      </c>
      <c r="F29" s="22">
        <v>1</v>
      </c>
      <c r="G29" s="22">
        <v>1</v>
      </c>
      <c r="H29" s="23" t="s">
        <v>53</v>
      </c>
      <c r="I29" s="20" t="s">
        <v>26</v>
      </c>
      <c r="J29" s="20"/>
      <c r="P29" s="39" t="s">
        <v>204</v>
      </c>
      <c r="Q29" s="39">
        <v>231458</v>
      </c>
      <c r="R29" s="39">
        <v>1</v>
      </c>
      <c r="S29" s="40">
        <v>1</v>
      </c>
      <c r="T29" s="52">
        <v>46104.390972222223</v>
      </c>
      <c r="U29" s="42" t="s">
        <v>63</v>
      </c>
      <c r="V29" s="42" t="s">
        <v>188</v>
      </c>
      <c r="AP29" s="39" t="s">
        <v>204</v>
      </c>
      <c r="AQ29" s="39">
        <v>231458</v>
      </c>
      <c r="AR29" s="39">
        <v>1</v>
      </c>
      <c r="AS29" s="39">
        <v>1</v>
      </c>
      <c r="AT29" s="41">
        <v>46104.390972222223</v>
      </c>
      <c r="AU29" s="42" t="s">
        <v>63</v>
      </c>
    </row>
    <row r="30" spans="1:47" ht="13.5" customHeight="1" x14ac:dyDescent="0.2">
      <c r="A30" s="20" t="s">
        <v>91</v>
      </c>
      <c r="B30" s="20"/>
      <c r="C30" s="20"/>
      <c r="D30" s="20"/>
      <c r="E30" s="21">
        <v>231458</v>
      </c>
      <c r="F30" s="22">
        <v>2</v>
      </c>
      <c r="G30" s="22">
        <v>1</v>
      </c>
      <c r="H30" s="23" t="s">
        <v>43</v>
      </c>
      <c r="I30" s="20" t="s">
        <v>26</v>
      </c>
      <c r="J30" s="20"/>
      <c r="P30" s="39" t="s">
        <v>205</v>
      </c>
      <c r="Q30" s="39">
        <v>231458</v>
      </c>
      <c r="R30" s="39">
        <v>2</v>
      </c>
      <c r="S30" s="40">
        <v>1</v>
      </c>
      <c r="T30" s="52">
        <v>46104.39166666667</v>
      </c>
      <c r="U30" s="42" t="s">
        <v>63</v>
      </c>
      <c r="V30" s="42" t="s">
        <v>188</v>
      </c>
      <c r="AP30" s="39" t="s">
        <v>205</v>
      </c>
      <c r="AQ30" s="39">
        <v>231458</v>
      </c>
      <c r="AR30" s="39">
        <v>2</v>
      </c>
      <c r="AS30" s="39">
        <v>1</v>
      </c>
      <c r="AT30" s="41">
        <v>46104.39166666667</v>
      </c>
      <c r="AU30" s="42" t="s">
        <v>63</v>
      </c>
    </row>
    <row r="31" spans="1:47" ht="13.5" customHeight="1" x14ac:dyDescent="0.2">
      <c r="A31" s="20" t="s">
        <v>92</v>
      </c>
      <c r="B31" s="20"/>
      <c r="C31" s="20"/>
      <c r="D31" s="20"/>
      <c r="E31" s="21">
        <v>231459</v>
      </c>
      <c r="F31" s="22">
        <v>1</v>
      </c>
      <c r="G31" s="22">
        <v>2</v>
      </c>
      <c r="H31" s="23" t="s">
        <v>53</v>
      </c>
      <c r="I31" s="20" t="s">
        <v>26</v>
      </c>
      <c r="J31" s="20"/>
      <c r="P31" s="39" t="s">
        <v>206</v>
      </c>
      <c r="Q31" s="39">
        <v>231459</v>
      </c>
      <c r="R31" s="39">
        <v>1</v>
      </c>
      <c r="S31" s="40">
        <v>2</v>
      </c>
      <c r="T31" s="52">
        <v>46104.390277777777</v>
      </c>
      <c r="U31" s="42" t="s">
        <v>63</v>
      </c>
      <c r="V31" s="42" t="s">
        <v>188</v>
      </c>
      <c r="AP31" s="39" t="s">
        <v>206</v>
      </c>
      <c r="AQ31" s="39">
        <v>231459</v>
      </c>
      <c r="AR31" s="39">
        <v>1</v>
      </c>
      <c r="AS31" s="39">
        <v>2</v>
      </c>
      <c r="AT31" s="41">
        <v>46104.390277777777</v>
      </c>
      <c r="AU31" s="42" t="s">
        <v>63</v>
      </c>
    </row>
    <row r="32" spans="1:47" ht="13.5" customHeight="1" x14ac:dyDescent="0.2">
      <c r="A32" s="20" t="s">
        <v>93</v>
      </c>
      <c r="B32" s="20"/>
      <c r="C32" s="20"/>
      <c r="D32" s="20"/>
      <c r="E32" s="21">
        <v>231461</v>
      </c>
      <c r="F32" s="22">
        <v>1</v>
      </c>
      <c r="G32" s="22">
        <v>1</v>
      </c>
      <c r="H32" s="23" t="s">
        <v>94</v>
      </c>
      <c r="I32" s="20" t="s">
        <v>52</v>
      </c>
      <c r="J32" s="20"/>
      <c r="P32" s="39" t="s">
        <v>207</v>
      </c>
      <c r="Q32" s="39">
        <v>231461</v>
      </c>
      <c r="R32" s="39">
        <v>1</v>
      </c>
      <c r="S32" s="40">
        <v>1</v>
      </c>
      <c r="T32" s="52">
        <v>46104.34652777778</v>
      </c>
      <c r="U32" s="42" t="s">
        <v>63</v>
      </c>
      <c r="V32" s="42" t="s">
        <v>188</v>
      </c>
      <c r="AP32" s="39" t="s">
        <v>207</v>
      </c>
      <c r="AQ32" s="39">
        <v>231461</v>
      </c>
      <c r="AR32" s="39">
        <v>1</v>
      </c>
      <c r="AS32" s="39">
        <v>1</v>
      </c>
      <c r="AT32" s="41">
        <v>46104.345833333333</v>
      </c>
      <c r="AU32" s="42" t="s">
        <v>63</v>
      </c>
    </row>
    <row r="33" spans="1:47" ht="13.5" customHeight="1" x14ac:dyDescent="0.2">
      <c r="A33" s="20" t="s">
        <v>93</v>
      </c>
      <c r="B33" s="20"/>
      <c r="C33" s="20"/>
      <c r="D33" s="20"/>
      <c r="E33" s="21">
        <v>231461</v>
      </c>
      <c r="F33" s="22">
        <v>2</v>
      </c>
      <c r="G33" s="22">
        <v>1</v>
      </c>
      <c r="H33" s="23" t="s">
        <v>48</v>
      </c>
      <c r="I33" s="20" t="s">
        <v>52</v>
      </c>
      <c r="J33" s="20"/>
      <c r="P33" s="39" t="s">
        <v>208</v>
      </c>
      <c r="Q33" s="39">
        <v>231461</v>
      </c>
      <c r="R33" s="39">
        <v>2</v>
      </c>
      <c r="S33" s="40">
        <v>1</v>
      </c>
      <c r="T33" s="52">
        <v>46104.388888888891</v>
      </c>
      <c r="U33" s="42" t="s">
        <v>63</v>
      </c>
      <c r="V33" s="42" t="s">
        <v>188</v>
      </c>
      <c r="AP33" s="39" t="s">
        <v>208</v>
      </c>
      <c r="AQ33" s="39">
        <v>231461</v>
      </c>
      <c r="AR33" s="39">
        <v>2</v>
      </c>
      <c r="AS33" s="39">
        <v>1</v>
      </c>
      <c r="AT33" s="41">
        <v>46104.388888888891</v>
      </c>
      <c r="AU33" s="42" t="s">
        <v>63</v>
      </c>
    </row>
    <row r="34" spans="1:47" ht="13.5" customHeight="1" x14ac:dyDescent="0.2">
      <c r="A34" s="20" t="s">
        <v>95</v>
      </c>
      <c r="B34" s="20"/>
      <c r="C34" s="20"/>
      <c r="D34" s="20"/>
      <c r="E34" s="21">
        <v>231462</v>
      </c>
      <c r="F34" s="22">
        <v>1</v>
      </c>
      <c r="G34" s="22">
        <v>1</v>
      </c>
      <c r="H34" s="23" t="s">
        <v>44</v>
      </c>
      <c r="I34" s="20" t="s">
        <v>96</v>
      </c>
      <c r="J34" s="20"/>
      <c r="P34" s="39" t="s">
        <v>209</v>
      </c>
      <c r="Q34" s="39">
        <v>231462</v>
      </c>
      <c r="R34" s="39">
        <v>1</v>
      </c>
      <c r="S34" s="40">
        <v>1</v>
      </c>
      <c r="T34" s="52">
        <v>46104.347222222219</v>
      </c>
      <c r="U34" s="42" t="s">
        <v>63</v>
      </c>
      <c r="V34" s="42" t="s">
        <v>188</v>
      </c>
      <c r="AP34" s="39" t="s">
        <v>209</v>
      </c>
      <c r="AQ34" s="39">
        <v>231462</v>
      </c>
      <c r="AR34" s="39">
        <v>1</v>
      </c>
      <c r="AS34" s="39">
        <v>1</v>
      </c>
      <c r="AT34" s="41">
        <v>46104.345833333333</v>
      </c>
      <c r="AU34" s="42" t="s">
        <v>63</v>
      </c>
    </row>
    <row r="35" spans="1:47" ht="13.5" customHeight="1" x14ac:dyDescent="0.2">
      <c r="A35" s="20" t="s">
        <v>95</v>
      </c>
      <c r="B35" s="20"/>
      <c r="C35" s="20"/>
      <c r="D35" s="20"/>
      <c r="E35" s="21">
        <v>231462</v>
      </c>
      <c r="F35" s="22">
        <v>2</v>
      </c>
      <c r="G35" s="22">
        <v>1</v>
      </c>
      <c r="H35" s="23" t="s">
        <v>51</v>
      </c>
      <c r="I35" s="20" t="s">
        <v>96</v>
      </c>
      <c r="J35" s="20"/>
      <c r="P35" s="39" t="s">
        <v>210</v>
      </c>
      <c r="Q35" s="39">
        <v>231462</v>
      </c>
      <c r="R35" s="39">
        <v>2</v>
      </c>
      <c r="S35" s="40">
        <v>1</v>
      </c>
      <c r="T35" s="52">
        <v>46104.393750000003</v>
      </c>
      <c r="U35" s="42" t="s">
        <v>63</v>
      </c>
      <c r="V35" s="42" t="s">
        <v>188</v>
      </c>
      <c r="AP35" s="39" t="s">
        <v>210</v>
      </c>
      <c r="AQ35" s="39">
        <v>231462</v>
      </c>
      <c r="AR35" s="39">
        <v>2</v>
      </c>
      <c r="AS35" s="39">
        <v>1</v>
      </c>
      <c r="AT35" s="41">
        <v>46104.393750000003</v>
      </c>
      <c r="AU35" s="42" t="s">
        <v>63</v>
      </c>
    </row>
    <row r="36" spans="1:47" ht="13.5" customHeight="1" x14ac:dyDescent="0.2">
      <c r="A36" s="20" t="s">
        <v>95</v>
      </c>
      <c r="B36" s="20"/>
      <c r="C36" s="20"/>
      <c r="D36" s="20"/>
      <c r="E36" s="21">
        <v>231462</v>
      </c>
      <c r="F36" s="22">
        <v>3</v>
      </c>
      <c r="G36" s="22">
        <v>1</v>
      </c>
      <c r="H36" s="23" t="s">
        <v>97</v>
      </c>
      <c r="I36" s="20" t="s">
        <v>96</v>
      </c>
      <c r="J36" s="20"/>
      <c r="P36" s="39" t="s">
        <v>211</v>
      </c>
      <c r="Q36" s="39">
        <v>231462</v>
      </c>
      <c r="R36" s="39">
        <v>3</v>
      </c>
      <c r="S36" s="40">
        <v>1</v>
      </c>
      <c r="T36" s="52">
        <v>46104.393055555556</v>
      </c>
      <c r="U36" s="42" t="s">
        <v>63</v>
      </c>
      <c r="V36" s="42" t="s">
        <v>188</v>
      </c>
      <c r="AP36" s="39" t="s">
        <v>211</v>
      </c>
      <c r="AQ36" s="39">
        <v>231462</v>
      </c>
      <c r="AR36" s="39">
        <v>3</v>
      </c>
      <c r="AS36" s="39">
        <v>1</v>
      </c>
      <c r="AT36" s="41">
        <v>46104.392361111109</v>
      </c>
      <c r="AU36" s="42" t="s">
        <v>63</v>
      </c>
    </row>
    <row r="37" spans="1:47" ht="13.5" customHeight="1" x14ac:dyDescent="0.2">
      <c r="A37" s="20" t="s">
        <v>98</v>
      </c>
      <c r="B37" s="20"/>
      <c r="C37" s="20"/>
      <c r="D37" s="20"/>
      <c r="E37" s="21">
        <v>231463</v>
      </c>
      <c r="F37" s="22">
        <v>1</v>
      </c>
      <c r="G37" s="22">
        <v>1</v>
      </c>
      <c r="H37" s="23" t="s">
        <v>94</v>
      </c>
      <c r="I37" s="20" t="s">
        <v>52</v>
      </c>
      <c r="J37" s="20"/>
      <c r="P37" s="39" t="s">
        <v>212</v>
      </c>
      <c r="Q37" s="39">
        <v>231463</v>
      </c>
      <c r="R37" s="39">
        <v>1</v>
      </c>
      <c r="S37" s="40">
        <v>1</v>
      </c>
      <c r="T37" s="52">
        <v>46104.347222222219</v>
      </c>
      <c r="U37" s="42" t="s">
        <v>63</v>
      </c>
      <c r="V37" s="42" t="s">
        <v>188</v>
      </c>
      <c r="AP37" s="39" t="s">
        <v>212</v>
      </c>
      <c r="AQ37" s="39">
        <v>231463</v>
      </c>
      <c r="AR37" s="39">
        <v>1</v>
      </c>
      <c r="AS37" s="39">
        <v>1</v>
      </c>
      <c r="AT37" s="41">
        <v>46104.345833333333</v>
      </c>
      <c r="AU37" s="42" t="s">
        <v>63</v>
      </c>
    </row>
    <row r="38" spans="1:47" ht="13.5" customHeight="1" x14ac:dyDescent="0.2">
      <c r="A38" s="20" t="s">
        <v>98</v>
      </c>
      <c r="B38" s="20"/>
      <c r="C38" s="20"/>
      <c r="D38" s="20"/>
      <c r="E38" s="21">
        <v>231463</v>
      </c>
      <c r="F38" s="22">
        <v>2</v>
      </c>
      <c r="G38" s="22">
        <v>1</v>
      </c>
      <c r="H38" s="23" t="s">
        <v>97</v>
      </c>
      <c r="I38" s="20" t="s">
        <v>52</v>
      </c>
      <c r="J38" s="20"/>
      <c r="P38" s="39" t="s">
        <v>213</v>
      </c>
      <c r="Q38" s="39">
        <v>231463</v>
      </c>
      <c r="R38" s="39">
        <v>2</v>
      </c>
      <c r="S38" s="40">
        <v>1</v>
      </c>
      <c r="T38" s="52">
        <v>46104.393750000003</v>
      </c>
      <c r="U38" s="42" t="s">
        <v>63</v>
      </c>
      <c r="V38" s="42" t="s">
        <v>188</v>
      </c>
      <c r="AP38" s="39" t="s">
        <v>213</v>
      </c>
      <c r="AQ38" s="39">
        <v>231463</v>
      </c>
      <c r="AR38" s="39">
        <v>2</v>
      </c>
      <c r="AS38" s="39">
        <v>1</v>
      </c>
      <c r="AT38" s="41">
        <v>46104.393055555556</v>
      </c>
      <c r="AU38" s="42" t="s">
        <v>63</v>
      </c>
    </row>
    <row r="39" spans="1:47" ht="13.5" customHeight="1" x14ac:dyDescent="0.2">
      <c r="A39" s="20" t="s">
        <v>99</v>
      </c>
      <c r="B39" s="20"/>
      <c r="C39" s="20"/>
      <c r="D39" s="20"/>
      <c r="E39" s="21">
        <v>231464</v>
      </c>
      <c r="F39" s="22">
        <v>1</v>
      </c>
      <c r="G39" s="22">
        <v>1</v>
      </c>
      <c r="H39" s="23" t="s">
        <v>94</v>
      </c>
      <c r="I39" s="20" t="s">
        <v>45</v>
      </c>
      <c r="J39" s="20"/>
      <c r="P39" s="39" t="s">
        <v>214</v>
      </c>
      <c r="Q39" s="39">
        <v>231464</v>
      </c>
      <c r="R39" s="39">
        <v>1</v>
      </c>
      <c r="S39" s="40">
        <v>1</v>
      </c>
      <c r="T39" s="52">
        <v>46104.34652777778</v>
      </c>
      <c r="U39" s="42" t="s">
        <v>63</v>
      </c>
      <c r="V39" s="42" t="s">
        <v>188</v>
      </c>
      <c r="AP39" s="39" t="s">
        <v>214</v>
      </c>
      <c r="AQ39" s="39">
        <v>231464</v>
      </c>
      <c r="AR39" s="39">
        <v>1</v>
      </c>
      <c r="AS39" s="39">
        <v>1</v>
      </c>
      <c r="AT39" s="41">
        <v>46104.345833333333</v>
      </c>
      <c r="AU39" s="42" t="s">
        <v>63</v>
      </c>
    </row>
    <row r="40" spans="1:47" ht="13.5" customHeight="1" x14ac:dyDescent="0.2">
      <c r="A40" s="20" t="s">
        <v>100</v>
      </c>
      <c r="B40" s="20"/>
      <c r="C40" s="20"/>
      <c r="D40" s="20"/>
      <c r="E40" s="21">
        <v>231465</v>
      </c>
      <c r="F40" s="22">
        <v>1</v>
      </c>
      <c r="G40" s="22">
        <v>4</v>
      </c>
      <c r="H40" s="23" t="s">
        <v>25</v>
      </c>
      <c r="I40" s="20" t="s">
        <v>24</v>
      </c>
      <c r="J40" s="20"/>
      <c r="P40" s="39" t="s">
        <v>215</v>
      </c>
      <c r="Q40" s="39">
        <v>231465</v>
      </c>
      <c r="R40" s="39">
        <v>1</v>
      </c>
      <c r="S40" s="40">
        <v>4</v>
      </c>
      <c r="T40" s="52">
        <v>46104.415277777778</v>
      </c>
      <c r="U40" s="42" t="s">
        <v>63</v>
      </c>
      <c r="V40" s="42" t="s">
        <v>188</v>
      </c>
      <c r="AP40" s="39" t="s">
        <v>215</v>
      </c>
      <c r="AQ40" s="39">
        <v>231465</v>
      </c>
      <c r="AR40" s="39">
        <v>1</v>
      </c>
      <c r="AS40" s="39">
        <v>4</v>
      </c>
      <c r="AT40" s="41">
        <v>46104.334027777775</v>
      </c>
      <c r="AU40" s="42" t="s">
        <v>63</v>
      </c>
    </row>
    <row r="41" spans="1:47" ht="13.5" customHeight="1" x14ac:dyDescent="0.2">
      <c r="A41" s="20" t="s">
        <v>101</v>
      </c>
      <c r="B41" s="20"/>
      <c r="C41" s="20"/>
      <c r="D41" s="20"/>
      <c r="E41" s="21">
        <v>231466</v>
      </c>
      <c r="F41" s="22">
        <v>1</v>
      </c>
      <c r="G41" s="22">
        <v>1</v>
      </c>
      <c r="H41" s="23" t="s">
        <v>102</v>
      </c>
      <c r="I41" s="20" t="s">
        <v>103</v>
      </c>
      <c r="J41" s="20"/>
      <c r="P41" s="39" t="s">
        <v>216</v>
      </c>
      <c r="Q41" s="39">
        <v>231466</v>
      </c>
      <c r="R41" s="39">
        <v>1</v>
      </c>
      <c r="S41" s="40">
        <v>1</v>
      </c>
      <c r="T41" s="52">
        <v>46104.352083333331</v>
      </c>
      <c r="U41" s="42" t="s">
        <v>63</v>
      </c>
      <c r="V41" s="42" t="s">
        <v>188</v>
      </c>
      <c r="AP41" s="39" t="s">
        <v>216</v>
      </c>
      <c r="AQ41" s="39">
        <v>231466</v>
      </c>
      <c r="AR41" s="39">
        <v>1</v>
      </c>
      <c r="AS41" s="39">
        <v>1</v>
      </c>
      <c r="AT41" s="41">
        <v>46104.334722222222</v>
      </c>
      <c r="AU41" s="42" t="s">
        <v>63</v>
      </c>
    </row>
    <row r="42" spans="1:47" ht="13.5" customHeight="1" x14ac:dyDescent="0.2">
      <c r="A42" s="20" t="s">
        <v>101</v>
      </c>
      <c r="B42" s="20"/>
      <c r="C42" s="20"/>
      <c r="D42" s="20"/>
      <c r="E42" s="21">
        <v>231466</v>
      </c>
      <c r="F42" s="22">
        <v>2</v>
      </c>
      <c r="G42" s="22">
        <v>1</v>
      </c>
      <c r="H42" s="23" t="s">
        <v>104</v>
      </c>
      <c r="I42" s="20" t="s">
        <v>103</v>
      </c>
      <c r="J42" s="20"/>
      <c r="P42" s="39" t="s">
        <v>217</v>
      </c>
      <c r="Q42" s="39">
        <v>231466</v>
      </c>
      <c r="R42" s="39">
        <v>2</v>
      </c>
      <c r="S42" s="40">
        <v>1</v>
      </c>
      <c r="T42" s="52">
        <v>46104.393055555556</v>
      </c>
      <c r="U42" s="42" t="s">
        <v>63</v>
      </c>
      <c r="V42" s="42" t="s">
        <v>188</v>
      </c>
      <c r="AP42" s="39" t="s">
        <v>217</v>
      </c>
      <c r="AQ42" s="39">
        <v>231466</v>
      </c>
      <c r="AR42" s="39">
        <v>2</v>
      </c>
      <c r="AS42" s="39">
        <v>1</v>
      </c>
      <c r="AT42" s="41">
        <v>46104.393055555556</v>
      </c>
      <c r="AU42" s="42" t="s">
        <v>63</v>
      </c>
    </row>
    <row r="43" spans="1:47" ht="13.5" customHeight="1" x14ac:dyDescent="0.2">
      <c r="A43" s="20" t="s">
        <v>101</v>
      </c>
      <c r="B43" s="20"/>
      <c r="C43" s="20"/>
      <c r="D43" s="20"/>
      <c r="E43" s="21">
        <v>231466</v>
      </c>
      <c r="F43" s="22">
        <v>3</v>
      </c>
      <c r="G43" s="22">
        <v>1</v>
      </c>
      <c r="H43" s="23" t="s">
        <v>105</v>
      </c>
      <c r="I43" s="20" t="s">
        <v>103</v>
      </c>
      <c r="J43" s="20"/>
      <c r="P43" s="39" t="s">
        <v>218</v>
      </c>
      <c r="Q43" s="39">
        <v>231466</v>
      </c>
      <c r="R43" s="39">
        <v>3</v>
      </c>
      <c r="S43" s="40">
        <v>1</v>
      </c>
      <c r="T43" s="52">
        <v>46104.413194444445</v>
      </c>
      <c r="U43" s="42" t="s">
        <v>63</v>
      </c>
      <c r="V43" s="42" t="s">
        <v>188</v>
      </c>
      <c r="AP43" s="39" t="s">
        <v>218</v>
      </c>
      <c r="AQ43" s="39">
        <v>231466</v>
      </c>
      <c r="AR43" s="39">
        <v>3</v>
      </c>
      <c r="AS43" s="39">
        <v>1</v>
      </c>
      <c r="AT43" s="41">
        <v>46104.413194444445</v>
      </c>
      <c r="AU43" s="42" t="s">
        <v>63</v>
      </c>
    </row>
    <row r="44" spans="1:47" ht="13.5" customHeight="1" x14ac:dyDescent="0.2">
      <c r="A44" s="20" t="s">
        <v>106</v>
      </c>
      <c r="B44" s="20"/>
      <c r="C44" s="20"/>
      <c r="D44" s="20"/>
      <c r="E44" s="21">
        <v>231467</v>
      </c>
      <c r="F44" s="22">
        <v>1</v>
      </c>
      <c r="G44" s="22">
        <v>1</v>
      </c>
      <c r="H44" s="23" t="s">
        <v>102</v>
      </c>
      <c r="I44" s="20" t="s">
        <v>103</v>
      </c>
      <c r="J44" s="20"/>
      <c r="P44" s="39" t="s">
        <v>219</v>
      </c>
      <c r="Q44" s="39">
        <v>231467</v>
      </c>
      <c r="R44" s="39">
        <v>1</v>
      </c>
      <c r="S44" s="40">
        <v>1</v>
      </c>
      <c r="T44" s="52">
        <v>46104.352083333331</v>
      </c>
      <c r="U44" s="42" t="s">
        <v>63</v>
      </c>
      <c r="V44" s="42" t="s">
        <v>188</v>
      </c>
      <c r="AP44" s="39" t="s">
        <v>219</v>
      </c>
      <c r="AQ44" s="39">
        <v>231467</v>
      </c>
      <c r="AR44" s="39">
        <v>1</v>
      </c>
      <c r="AS44" s="39">
        <v>1</v>
      </c>
      <c r="AT44" s="41">
        <v>46104.334722222222</v>
      </c>
      <c r="AU44" s="42" t="s">
        <v>63</v>
      </c>
    </row>
    <row r="45" spans="1:47" ht="13.5" customHeight="1" x14ac:dyDescent="0.2">
      <c r="A45" s="20" t="s">
        <v>106</v>
      </c>
      <c r="B45" s="20"/>
      <c r="C45" s="20"/>
      <c r="D45" s="20"/>
      <c r="E45" s="21">
        <v>231467</v>
      </c>
      <c r="F45" s="22">
        <v>2</v>
      </c>
      <c r="G45" s="22">
        <v>1</v>
      </c>
      <c r="H45" s="23" t="s">
        <v>104</v>
      </c>
      <c r="I45" s="20" t="s">
        <v>103</v>
      </c>
      <c r="J45" s="20"/>
      <c r="P45" s="39" t="s">
        <v>220</v>
      </c>
      <c r="Q45" s="39">
        <v>231467</v>
      </c>
      <c r="R45" s="39">
        <v>2</v>
      </c>
      <c r="S45" s="40">
        <v>1</v>
      </c>
      <c r="T45" s="52">
        <v>46104.393750000003</v>
      </c>
      <c r="U45" s="42" t="s">
        <v>63</v>
      </c>
      <c r="V45" s="42" t="s">
        <v>188</v>
      </c>
      <c r="AP45" s="39" t="s">
        <v>220</v>
      </c>
      <c r="AQ45" s="39">
        <v>231467</v>
      </c>
      <c r="AR45" s="39">
        <v>2</v>
      </c>
      <c r="AS45" s="39">
        <v>1</v>
      </c>
      <c r="AT45" s="41">
        <v>46104.393750000003</v>
      </c>
      <c r="AU45" s="42" t="s">
        <v>63</v>
      </c>
    </row>
    <row r="46" spans="1:47" ht="13.5" customHeight="1" x14ac:dyDescent="0.2">
      <c r="A46" s="20" t="s">
        <v>106</v>
      </c>
      <c r="B46" s="20"/>
      <c r="C46" s="20"/>
      <c r="D46" s="20"/>
      <c r="E46" s="21">
        <v>231467</v>
      </c>
      <c r="F46" s="22">
        <v>3</v>
      </c>
      <c r="G46" s="22">
        <v>1</v>
      </c>
      <c r="H46" s="23" t="s">
        <v>107</v>
      </c>
      <c r="I46" s="20" t="s">
        <v>103</v>
      </c>
      <c r="J46" s="20"/>
      <c r="P46" s="39" t="s">
        <v>221</v>
      </c>
      <c r="Q46" s="39">
        <v>231467</v>
      </c>
      <c r="R46" s="39">
        <v>3</v>
      </c>
      <c r="S46" s="40">
        <v>1</v>
      </c>
      <c r="T46" s="52">
        <v>46104.413194444445</v>
      </c>
      <c r="U46" s="42" t="s">
        <v>63</v>
      </c>
      <c r="V46" s="42" t="s">
        <v>188</v>
      </c>
      <c r="AP46" s="39" t="s">
        <v>221</v>
      </c>
      <c r="AQ46" s="39">
        <v>231467</v>
      </c>
      <c r="AR46" s="39">
        <v>3</v>
      </c>
      <c r="AS46" s="39">
        <v>1</v>
      </c>
      <c r="AT46" s="41">
        <v>46104.413194444445</v>
      </c>
      <c r="AU46" s="42" t="s">
        <v>63</v>
      </c>
    </row>
    <row r="47" spans="1:47" ht="13.5" customHeight="1" x14ac:dyDescent="0.2">
      <c r="A47" s="20" t="s">
        <v>108</v>
      </c>
      <c r="B47" s="20"/>
      <c r="C47" s="20"/>
      <c r="D47" s="20"/>
      <c r="E47" s="21">
        <v>231468</v>
      </c>
      <c r="F47" s="22">
        <v>1</v>
      </c>
      <c r="G47" s="22">
        <v>1</v>
      </c>
      <c r="H47" s="23" t="s">
        <v>28</v>
      </c>
      <c r="I47" s="20" t="s">
        <v>45</v>
      </c>
      <c r="J47" s="20"/>
      <c r="P47" s="39" t="s">
        <v>222</v>
      </c>
      <c r="Q47" s="39">
        <v>231468</v>
      </c>
      <c r="R47" s="39">
        <v>1</v>
      </c>
      <c r="S47" s="40">
        <v>1</v>
      </c>
      <c r="T47" s="52">
        <v>46104.574305555558</v>
      </c>
      <c r="U47" s="42" t="s">
        <v>63</v>
      </c>
      <c r="V47" s="42" t="s">
        <v>188</v>
      </c>
      <c r="AP47" s="39" t="s">
        <v>222</v>
      </c>
      <c r="AQ47" s="39">
        <v>231468</v>
      </c>
      <c r="AR47" s="39">
        <v>1</v>
      </c>
      <c r="AS47" s="39">
        <v>1</v>
      </c>
      <c r="AT47" s="41">
        <v>46104.434027777781</v>
      </c>
      <c r="AU47" s="42" t="s">
        <v>63</v>
      </c>
    </row>
    <row r="48" spans="1:47" ht="13.5" customHeight="1" x14ac:dyDescent="0.2">
      <c r="A48" s="20" t="s">
        <v>109</v>
      </c>
      <c r="B48" s="20"/>
      <c r="C48" s="20"/>
      <c r="D48" s="20"/>
      <c r="E48" s="21">
        <v>231469</v>
      </c>
      <c r="F48" s="22">
        <v>1</v>
      </c>
      <c r="G48" s="22">
        <v>1</v>
      </c>
      <c r="H48" s="23" t="s">
        <v>25</v>
      </c>
      <c r="I48" s="20" t="s">
        <v>24</v>
      </c>
      <c r="J48" s="20"/>
      <c r="P48" s="39" t="s">
        <v>223</v>
      </c>
      <c r="Q48" s="39">
        <v>231469</v>
      </c>
      <c r="R48" s="39">
        <v>1</v>
      </c>
      <c r="S48" s="40">
        <v>1</v>
      </c>
      <c r="T48" s="52">
        <v>46104.415277777778</v>
      </c>
      <c r="U48" s="42" t="s">
        <v>63</v>
      </c>
      <c r="V48" s="42" t="s">
        <v>188</v>
      </c>
      <c r="AP48" s="39" t="s">
        <v>223</v>
      </c>
      <c r="AQ48" s="39">
        <v>231469</v>
      </c>
      <c r="AR48" s="39">
        <v>1</v>
      </c>
      <c r="AS48" s="39">
        <v>1</v>
      </c>
      <c r="AT48" s="41">
        <v>46104.336111111108</v>
      </c>
      <c r="AU48" s="42" t="s">
        <v>63</v>
      </c>
    </row>
    <row r="49" spans="1:47" ht="13.5" customHeight="1" x14ac:dyDescent="0.2">
      <c r="A49" s="20" t="s">
        <v>110</v>
      </c>
      <c r="B49" s="20"/>
      <c r="C49" s="20"/>
      <c r="D49" s="20"/>
      <c r="E49" s="21">
        <v>231470</v>
      </c>
      <c r="F49" s="22">
        <v>1</v>
      </c>
      <c r="G49" s="22">
        <v>1</v>
      </c>
      <c r="H49" s="23" t="s">
        <v>111</v>
      </c>
      <c r="I49" s="20" t="s">
        <v>112</v>
      </c>
      <c r="J49" s="20"/>
      <c r="P49" s="39" t="s">
        <v>224</v>
      </c>
      <c r="Q49" s="39">
        <v>231470</v>
      </c>
      <c r="R49" s="39">
        <v>1</v>
      </c>
      <c r="S49" s="40">
        <v>1</v>
      </c>
      <c r="T49" s="52">
        <v>46104.390972222223</v>
      </c>
      <c r="U49" s="42" t="s">
        <v>63</v>
      </c>
      <c r="V49" s="42" t="s">
        <v>188</v>
      </c>
      <c r="AP49" s="39" t="s">
        <v>224</v>
      </c>
      <c r="AQ49" s="39">
        <v>231470</v>
      </c>
      <c r="AR49" s="39">
        <v>1</v>
      </c>
      <c r="AS49" s="39">
        <v>1</v>
      </c>
      <c r="AT49" s="41">
        <v>46104.390277777777</v>
      </c>
      <c r="AU49" s="42" t="s">
        <v>63</v>
      </c>
    </row>
    <row r="50" spans="1:47" ht="13.5" customHeight="1" x14ac:dyDescent="0.2">
      <c r="A50" s="20" t="s">
        <v>113</v>
      </c>
      <c r="B50" s="20"/>
      <c r="C50" s="20"/>
      <c r="D50" s="20"/>
      <c r="E50" s="21">
        <v>231471</v>
      </c>
      <c r="F50" s="22">
        <v>1</v>
      </c>
      <c r="G50" s="22">
        <v>1</v>
      </c>
      <c r="H50" s="23" t="s">
        <v>114</v>
      </c>
      <c r="I50" s="20" t="s">
        <v>45</v>
      </c>
      <c r="J50" s="20"/>
      <c r="P50" s="39" t="s">
        <v>225</v>
      </c>
      <c r="Q50" s="39">
        <v>231471</v>
      </c>
      <c r="R50" s="39">
        <v>1</v>
      </c>
      <c r="S50" s="40">
        <v>1</v>
      </c>
      <c r="T50" s="52">
        <v>46104.572916666664</v>
      </c>
      <c r="U50" s="42" t="s">
        <v>63</v>
      </c>
      <c r="V50" s="42" t="s">
        <v>188</v>
      </c>
      <c r="AP50" s="39" t="s">
        <v>225</v>
      </c>
      <c r="AQ50" s="39">
        <v>231471</v>
      </c>
      <c r="AR50" s="39">
        <v>1</v>
      </c>
      <c r="AS50" s="39">
        <v>1</v>
      </c>
      <c r="AT50" s="41">
        <v>46104.434027777781</v>
      </c>
      <c r="AU50" s="42" t="s">
        <v>63</v>
      </c>
    </row>
    <row r="51" spans="1:47" ht="13.5" customHeight="1" x14ac:dyDescent="0.2">
      <c r="A51" s="20" t="s">
        <v>115</v>
      </c>
      <c r="B51" s="20"/>
      <c r="C51" s="20"/>
      <c r="D51" s="20"/>
      <c r="E51" s="21">
        <v>231476</v>
      </c>
      <c r="F51" s="22">
        <v>1</v>
      </c>
      <c r="G51" s="22">
        <v>1</v>
      </c>
      <c r="H51" s="23" t="s">
        <v>23</v>
      </c>
      <c r="I51" s="20" t="s">
        <v>24</v>
      </c>
      <c r="J51" s="20"/>
      <c r="P51" s="39" t="s">
        <v>226</v>
      </c>
      <c r="Q51" s="39">
        <v>231476</v>
      </c>
      <c r="R51" s="39">
        <v>1</v>
      </c>
      <c r="S51" s="40">
        <v>1</v>
      </c>
      <c r="T51" s="52">
        <v>46104.349305555559</v>
      </c>
      <c r="U51" s="42" t="s">
        <v>63</v>
      </c>
      <c r="V51" s="42" t="s">
        <v>188</v>
      </c>
      <c r="AP51" s="39" t="s">
        <v>226</v>
      </c>
      <c r="AQ51" s="39">
        <v>231476</v>
      </c>
      <c r="AR51" s="39">
        <v>1</v>
      </c>
      <c r="AS51" s="39">
        <v>1</v>
      </c>
      <c r="AT51" s="41">
        <v>46104.335416666669</v>
      </c>
      <c r="AU51" s="42" t="s">
        <v>63</v>
      </c>
    </row>
    <row r="52" spans="1:47" ht="13.5" customHeight="1" x14ac:dyDescent="0.2">
      <c r="A52" s="20" t="s">
        <v>115</v>
      </c>
      <c r="B52" s="20"/>
      <c r="C52" s="20"/>
      <c r="D52" s="20"/>
      <c r="E52" s="21">
        <v>231476</v>
      </c>
      <c r="F52" s="22">
        <v>2</v>
      </c>
      <c r="G52" s="22">
        <v>4</v>
      </c>
      <c r="H52" s="23" t="s">
        <v>25</v>
      </c>
      <c r="I52" s="20" t="s">
        <v>24</v>
      </c>
      <c r="J52" s="20"/>
      <c r="P52" s="39" t="s">
        <v>227</v>
      </c>
      <c r="Q52" s="39">
        <v>231476</v>
      </c>
      <c r="R52" s="39">
        <v>2</v>
      </c>
      <c r="S52" s="40">
        <v>4</v>
      </c>
      <c r="T52" s="52">
        <v>46104.414583333331</v>
      </c>
      <c r="U52" s="42" t="s">
        <v>63</v>
      </c>
      <c r="V52" s="42" t="s">
        <v>188</v>
      </c>
      <c r="AP52" s="39" t="s">
        <v>227</v>
      </c>
      <c r="AQ52" s="39">
        <v>231476</v>
      </c>
      <c r="AR52" s="39">
        <v>2</v>
      </c>
      <c r="AS52" s="39">
        <v>4</v>
      </c>
      <c r="AT52" s="41">
        <v>46104.335416666669</v>
      </c>
      <c r="AU52" s="42" t="s">
        <v>63</v>
      </c>
    </row>
    <row r="53" spans="1:47" ht="13.5" customHeight="1" x14ac:dyDescent="0.2">
      <c r="A53" s="20" t="s">
        <v>116</v>
      </c>
      <c r="B53" s="20"/>
      <c r="C53" s="20"/>
      <c r="D53" s="20"/>
      <c r="E53" s="21">
        <v>231477</v>
      </c>
      <c r="F53" s="22">
        <v>1</v>
      </c>
      <c r="G53" s="22">
        <v>3</v>
      </c>
      <c r="H53" s="23" t="s">
        <v>25</v>
      </c>
      <c r="I53" s="20" t="s">
        <v>24</v>
      </c>
      <c r="J53" s="20"/>
      <c r="P53" s="39" t="s">
        <v>228</v>
      </c>
      <c r="Q53" s="39">
        <v>231477</v>
      </c>
      <c r="R53" s="39">
        <v>1</v>
      </c>
      <c r="S53" s="40">
        <v>3</v>
      </c>
      <c r="T53" s="52">
        <v>46104.415277777778</v>
      </c>
      <c r="U53" s="42" t="s">
        <v>63</v>
      </c>
      <c r="V53" s="42" t="s">
        <v>188</v>
      </c>
      <c r="AP53" s="39" t="s">
        <v>228</v>
      </c>
      <c r="AQ53" s="39">
        <v>231477</v>
      </c>
      <c r="AR53" s="39">
        <v>1</v>
      </c>
      <c r="AS53" s="39">
        <v>3</v>
      </c>
      <c r="AT53" s="41">
        <v>46104.336111111108</v>
      </c>
      <c r="AU53" s="42" t="s">
        <v>63</v>
      </c>
    </row>
    <row r="54" spans="1:47" ht="13.5" customHeight="1" x14ac:dyDescent="0.2">
      <c r="A54" s="20" t="s">
        <v>117</v>
      </c>
      <c r="B54" s="20"/>
      <c r="C54" s="20"/>
      <c r="D54" s="20"/>
      <c r="E54" s="21">
        <v>231478</v>
      </c>
      <c r="F54" s="22">
        <v>1</v>
      </c>
      <c r="G54" s="22">
        <v>1</v>
      </c>
      <c r="H54" s="23" t="s">
        <v>118</v>
      </c>
      <c r="I54" s="20" t="s">
        <v>119</v>
      </c>
      <c r="J54" s="20"/>
      <c r="P54" s="39" t="s">
        <v>229</v>
      </c>
      <c r="Q54" s="39">
        <v>231478</v>
      </c>
      <c r="R54" s="39">
        <v>1</v>
      </c>
      <c r="S54" s="40">
        <v>1</v>
      </c>
      <c r="T54" s="52">
        <v>46104.349305555559</v>
      </c>
      <c r="U54" s="42" t="s">
        <v>63</v>
      </c>
      <c r="V54" s="42" t="s">
        <v>188</v>
      </c>
      <c r="AP54" s="39" t="s">
        <v>229</v>
      </c>
      <c r="AQ54" s="39">
        <v>231478</v>
      </c>
      <c r="AR54" s="39">
        <v>1</v>
      </c>
      <c r="AS54" s="39">
        <v>1</v>
      </c>
      <c r="AT54" s="41">
        <v>46104.335416666669</v>
      </c>
      <c r="AU54" s="42" t="s">
        <v>63</v>
      </c>
    </row>
    <row r="55" spans="1:47" ht="13.5" customHeight="1" x14ac:dyDescent="0.2">
      <c r="A55" s="20" t="s">
        <v>117</v>
      </c>
      <c r="B55" s="20"/>
      <c r="C55" s="20"/>
      <c r="D55" s="20"/>
      <c r="E55" s="21">
        <v>231478</v>
      </c>
      <c r="F55" s="22">
        <v>2</v>
      </c>
      <c r="G55" s="22">
        <v>1</v>
      </c>
      <c r="H55" s="23" t="s">
        <v>120</v>
      </c>
      <c r="I55" s="20" t="s">
        <v>119</v>
      </c>
      <c r="J55" s="20"/>
      <c r="P55" s="39" t="s">
        <v>230</v>
      </c>
      <c r="Q55" s="39">
        <v>231478</v>
      </c>
      <c r="R55" s="39">
        <v>2</v>
      </c>
      <c r="S55" s="40">
        <v>1</v>
      </c>
      <c r="T55" s="52">
        <v>46104.326388888891</v>
      </c>
      <c r="U55" s="42" t="s">
        <v>63</v>
      </c>
      <c r="V55" s="42" t="s">
        <v>188</v>
      </c>
      <c r="AP55" s="39" t="s">
        <v>230</v>
      </c>
      <c r="AQ55" s="39">
        <v>231478</v>
      </c>
      <c r="AR55" s="39">
        <v>2</v>
      </c>
      <c r="AS55" s="39">
        <v>1</v>
      </c>
      <c r="AT55" s="41">
        <v>46104.325694444444</v>
      </c>
      <c r="AU55" s="42" t="s">
        <v>63</v>
      </c>
    </row>
    <row r="56" spans="1:47" ht="13.5" customHeight="1" x14ac:dyDescent="0.2">
      <c r="A56" s="20" t="s">
        <v>121</v>
      </c>
      <c r="B56" s="20"/>
      <c r="C56" s="20"/>
      <c r="D56" s="20"/>
      <c r="E56" s="21">
        <v>231479</v>
      </c>
      <c r="F56" s="22">
        <v>1</v>
      </c>
      <c r="G56" s="22">
        <v>1</v>
      </c>
      <c r="H56" s="23" t="s">
        <v>122</v>
      </c>
      <c r="I56" s="20" t="s">
        <v>119</v>
      </c>
      <c r="J56" s="20"/>
      <c r="P56" s="39" t="s">
        <v>231</v>
      </c>
      <c r="Q56" s="39">
        <v>231479</v>
      </c>
      <c r="R56" s="39">
        <v>1</v>
      </c>
      <c r="S56" s="40">
        <v>1</v>
      </c>
      <c r="T56" s="52">
        <v>46104.379166666666</v>
      </c>
      <c r="U56" s="42" t="s">
        <v>63</v>
      </c>
      <c r="V56" s="42" t="s">
        <v>188</v>
      </c>
      <c r="AP56" s="39" t="s">
        <v>231</v>
      </c>
      <c r="AQ56" s="39">
        <v>231479</v>
      </c>
      <c r="AR56" s="39">
        <v>1</v>
      </c>
      <c r="AS56" s="39">
        <v>1</v>
      </c>
      <c r="AT56" s="41">
        <v>46104.373611111114</v>
      </c>
      <c r="AU56" s="42" t="s">
        <v>63</v>
      </c>
    </row>
    <row r="57" spans="1:47" ht="13.5" customHeight="1" x14ac:dyDescent="0.2">
      <c r="A57" s="20" t="s">
        <v>121</v>
      </c>
      <c r="B57" s="20"/>
      <c r="C57" s="20"/>
      <c r="D57" s="20"/>
      <c r="E57" s="21">
        <v>231479</v>
      </c>
      <c r="F57" s="22">
        <v>2</v>
      </c>
      <c r="G57" s="22">
        <v>2</v>
      </c>
      <c r="H57" s="23" t="s">
        <v>123</v>
      </c>
      <c r="I57" s="20" t="s">
        <v>119</v>
      </c>
      <c r="J57" s="20"/>
      <c r="P57" s="39" t="s">
        <v>232</v>
      </c>
      <c r="Q57" s="39">
        <v>231479</v>
      </c>
      <c r="R57" s="39">
        <v>2</v>
      </c>
      <c r="S57" s="40">
        <v>2</v>
      </c>
      <c r="T57" s="52">
        <v>46104.413888888892</v>
      </c>
      <c r="U57" s="42" t="s">
        <v>63</v>
      </c>
      <c r="V57" s="42" t="s">
        <v>188</v>
      </c>
      <c r="AP57" s="39" t="s">
        <v>232</v>
      </c>
      <c r="AQ57" s="39">
        <v>231479</v>
      </c>
      <c r="AR57" s="39">
        <v>2</v>
      </c>
      <c r="AS57" s="39">
        <v>2</v>
      </c>
      <c r="AT57" s="41">
        <v>46104.413888888892</v>
      </c>
      <c r="AU57" s="42" t="s">
        <v>63</v>
      </c>
    </row>
    <row r="58" spans="1:47" ht="13.5" customHeight="1" x14ac:dyDescent="0.2">
      <c r="A58" s="20" t="s">
        <v>121</v>
      </c>
      <c r="B58" s="20"/>
      <c r="C58" s="20"/>
      <c r="D58" s="20"/>
      <c r="E58" s="21">
        <v>231479</v>
      </c>
      <c r="F58" s="22">
        <v>3</v>
      </c>
      <c r="G58" s="22">
        <v>1</v>
      </c>
      <c r="H58" s="23" t="s">
        <v>124</v>
      </c>
      <c r="I58" s="20" t="s">
        <v>119</v>
      </c>
      <c r="J58" s="20"/>
      <c r="P58" s="39" t="s">
        <v>233</v>
      </c>
      <c r="Q58" s="39">
        <v>231479</v>
      </c>
      <c r="R58" s="39">
        <v>3</v>
      </c>
      <c r="S58" s="40">
        <v>1</v>
      </c>
      <c r="T58" s="52">
        <v>46104.349305555559</v>
      </c>
      <c r="U58" s="42" t="s">
        <v>63</v>
      </c>
      <c r="V58" s="42" t="s">
        <v>188</v>
      </c>
      <c r="AP58" s="39" t="s">
        <v>233</v>
      </c>
      <c r="AQ58" s="39">
        <v>231479</v>
      </c>
      <c r="AR58" s="39">
        <v>3</v>
      </c>
      <c r="AS58" s="39">
        <v>1</v>
      </c>
      <c r="AT58" s="41">
        <v>46104.335416666669</v>
      </c>
      <c r="AU58" s="42" t="s">
        <v>63</v>
      </c>
    </row>
    <row r="59" spans="1:47" ht="13.5" customHeight="1" x14ac:dyDescent="0.2">
      <c r="A59" s="20" t="s">
        <v>125</v>
      </c>
      <c r="B59" s="20"/>
      <c r="C59" s="20"/>
      <c r="D59" s="20"/>
      <c r="E59" s="21">
        <v>231480</v>
      </c>
      <c r="F59" s="22">
        <v>1</v>
      </c>
      <c r="G59" s="22">
        <v>1</v>
      </c>
      <c r="H59" s="23" t="s">
        <v>23</v>
      </c>
      <c r="I59" s="20" t="s">
        <v>119</v>
      </c>
      <c r="J59" s="20"/>
      <c r="P59" s="39" t="s">
        <v>234</v>
      </c>
      <c r="Q59" s="39">
        <v>231480</v>
      </c>
      <c r="R59" s="39">
        <v>1</v>
      </c>
      <c r="S59" s="40">
        <v>1</v>
      </c>
      <c r="T59" s="52">
        <v>46104.347222222219</v>
      </c>
      <c r="U59" s="42" t="s">
        <v>63</v>
      </c>
      <c r="V59" s="42" t="s">
        <v>188</v>
      </c>
      <c r="AP59" s="39" t="s">
        <v>234</v>
      </c>
      <c r="AQ59" s="39">
        <v>231480</v>
      </c>
      <c r="AR59" s="39">
        <v>1</v>
      </c>
      <c r="AS59" s="39">
        <v>1</v>
      </c>
      <c r="AT59" s="41">
        <v>46104.334722222222</v>
      </c>
      <c r="AU59" s="42" t="s">
        <v>63</v>
      </c>
    </row>
    <row r="60" spans="1:47" ht="13.5" customHeight="1" x14ac:dyDescent="0.2">
      <c r="A60" s="20" t="s">
        <v>126</v>
      </c>
      <c r="B60" s="20"/>
      <c r="C60" s="20"/>
      <c r="D60" s="20"/>
      <c r="E60" s="21">
        <v>231481</v>
      </c>
      <c r="F60" s="22">
        <v>1</v>
      </c>
      <c r="G60" s="22">
        <v>1</v>
      </c>
      <c r="H60" s="23" t="s">
        <v>47</v>
      </c>
      <c r="I60" s="20" t="s">
        <v>26</v>
      </c>
      <c r="J60" s="20"/>
      <c r="P60" s="39" t="s">
        <v>235</v>
      </c>
      <c r="Q60" s="39">
        <v>231481</v>
      </c>
      <c r="R60" s="39">
        <v>1</v>
      </c>
      <c r="S60" s="40">
        <v>1</v>
      </c>
      <c r="T60" s="52">
        <v>46104.412499999999</v>
      </c>
      <c r="U60" s="42" t="s">
        <v>63</v>
      </c>
      <c r="V60" s="42" t="s">
        <v>188</v>
      </c>
      <c r="AP60" s="39" t="s">
        <v>235</v>
      </c>
      <c r="AQ60" s="39">
        <v>231481</v>
      </c>
      <c r="AR60" s="39">
        <v>1</v>
      </c>
      <c r="AS60" s="39">
        <v>1</v>
      </c>
      <c r="AT60" s="41">
        <v>46104.411805555559</v>
      </c>
      <c r="AU60" s="42" t="s">
        <v>63</v>
      </c>
    </row>
    <row r="61" spans="1:47" ht="13.5" customHeight="1" x14ac:dyDescent="0.2">
      <c r="A61" s="20" t="s">
        <v>127</v>
      </c>
      <c r="B61" s="20"/>
      <c r="C61" s="20"/>
      <c r="D61" s="20"/>
      <c r="E61" s="21">
        <v>231482</v>
      </c>
      <c r="F61" s="22">
        <v>1</v>
      </c>
      <c r="G61" s="22">
        <v>1</v>
      </c>
      <c r="H61" s="23" t="s">
        <v>53</v>
      </c>
      <c r="I61" s="20" t="s">
        <v>26</v>
      </c>
      <c r="J61" s="20"/>
      <c r="P61" s="39" t="s">
        <v>236</v>
      </c>
      <c r="Q61" s="39">
        <v>231482</v>
      </c>
      <c r="R61" s="39">
        <v>1</v>
      </c>
      <c r="S61" s="40">
        <v>1</v>
      </c>
      <c r="T61" s="52">
        <v>46104.411805555559</v>
      </c>
      <c r="U61" s="42" t="s">
        <v>63</v>
      </c>
      <c r="V61" s="42" t="s">
        <v>188</v>
      </c>
      <c r="AP61" s="39" t="s">
        <v>236</v>
      </c>
      <c r="AQ61" s="39">
        <v>231482</v>
      </c>
      <c r="AR61" s="39">
        <v>1</v>
      </c>
      <c r="AS61" s="39">
        <v>1</v>
      </c>
      <c r="AT61" s="41">
        <v>46104.411805555559</v>
      </c>
      <c r="AU61" s="42" t="s">
        <v>63</v>
      </c>
    </row>
    <row r="62" spans="1:47" ht="13.5" customHeight="1" x14ac:dyDescent="0.2">
      <c r="A62" s="20" t="s">
        <v>128</v>
      </c>
      <c r="B62" s="20"/>
      <c r="C62" s="20"/>
      <c r="D62" s="20"/>
      <c r="E62" s="21">
        <v>231483</v>
      </c>
      <c r="F62" s="22">
        <v>1</v>
      </c>
      <c r="G62" s="22">
        <v>1</v>
      </c>
      <c r="H62" s="23" t="s">
        <v>53</v>
      </c>
      <c r="I62" s="20" t="s">
        <v>26</v>
      </c>
      <c r="J62" s="20"/>
      <c r="P62" s="39" t="s">
        <v>237</v>
      </c>
      <c r="Q62" s="39">
        <v>231483</v>
      </c>
      <c r="R62" s="39">
        <v>1</v>
      </c>
      <c r="S62" s="40">
        <v>1</v>
      </c>
      <c r="T62" s="52">
        <v>46104.411805555559</v>
      </c>
      <c r="U62" s="42" t="s">
        <v>63</v>
      </c>
      <c r="V62" s="42" t="s">
        <v>188</v>
      </c>
      <c r="AP62" s="39" t="s">
        <v>237</v>
      </c>
      <c r="AQ62" s="39">
        <v>231483</v>
      </c>
      <c r="AR62" s="39">
        <v>1</v>
      </c>
      <c r="AS62" s="39">
        <v>1</v>
      </c>
      <c r="AT62" s="41">
        <v>46104.411111111112</v>
      </c>
      <c r="AU62" s="42" t="s">
        <v>63</v>
      </c>
    </row>
    <row r="63" spans="1:47" ht="13.5" customHeight="1" x14ac:dyDescent="0.2">
      <c r="A63" s="20" t="s">
        <v>129</v>
      </c>
      <c r="B63" s="20"/>
      <c r="C63" s="20"/>
      <c r="D63" s="20"/>
      <c r="E63" s="21">
        <v>231484</v>
      </c>
      <c r="F63" s="22">
        <v>1</v>
      </c>
      <c r="G63" s="22">
        <v>1</v>
      </c>
      <c r="H63" s="23" t="s">
        <v>130</v>
      </c>
      <c r="I63" s="20" t="s">
        <v>26</v>
      </c>
      <c r="J63" s="20"/>
      <c r="P63" s="39" t="s">
        <v>238</v>
      </c>
      <c r="Q63" s="39">
        <v>231484</v>
      </c>
      <c r="R63" s="39">
        <v>1</v>
      </c>
      <c r="S63" s="40">
        <v>1</v>
      </c>
      <c r="T63" s="52">
        <v>46104.411111111112</v>
      </c>
      <c r="U63" s="42" t="s">
        <v>63</v>
      </c>
      <c r="V63" s="42" t="s">
        <v>188</v>
      </c>
      <c r="AP63" s="39" t="s">
        <v>238</v>
      </c>
      <c r="AQ63" s="39">
        <v>231484</v>
      </c>
      <c r="AR63" s="39">
        <v>1</v>
      </c>
      <c r="AS63" s="39">
        <v>1</v>
      </c>
      <c r="AT63" s="41">
        <v>46104.411111111112</v>
      </c>
      <c r="AU63" s="42" t="s">
        <v>63</v>
      </c>
    </row>
    <row r="64" spans="1:47" ht="13.5" customHeight="1" x14ac:dyDescent="0.2">
      <c r="A64" s="20" t="s">
        <v>131</v>
      </c>
      <c r="B64" s="20"/>
      <c r="C64" s="20"/>
      <c r="D64" s="20"/>
      <c r="E64" s="21">
        <v>231485</v>
      </c>
      <c r="F64" s="22">
        <v>1</v>
      </c>
      <c r="G64" s="22">
        <v>1</v>
      </c>
      <c r="H64" s="23" t="s">
        <v>132</v>
      </c>
      <c r="I64" s="20" t="s">
        <v>133</v>
      </c>
      <c r="J64" s="20"/>
      <c r="P64" s="39"/>
      <c r="Q64" s="39"/>
      <c r="R64" s="39"/>
      <c r="S64" s="39"/>
      <c r="T64" s="52"/>
      <c r="U64" s="39"/>
      <c r="V64" s="39"/>
      <c r="AP64" s="39"/>
      <c r="AQ64" s="39"/>
      <c r="AR64" s="39"/>
      <c r="AS64" s="39"/>
      <c r="AT64" s="39"/>
      <c r="AU64" s="39"/>
    </row>
    <row r="65" spans="1:47" ht="13.5" customHeight="1" x14ac:dyDescent="0.2">
      <c r="A65" s="20" t="s">
        <v>131</v>
      </c>
      <c r="B65" s="20"/>
      <c r="C65" s="20"/>
      <c r="D65" s="20"/>
      <c r="E65" s="21">
        <v>231485</v>
      </c>
      <c r="F65" s="22">
        <v>2</v>
      </c>
      <c r="G65" s="22">
        <v>1</v>
      </c>
      <c r="H65" s="23" t="s">
        <v>134</v>
      </c>
      <c r="I65" s="20" t="s">
        <v>133</v>
      </c>
      <c r="J65" s="20"/>
      <c r="P65" s="39"/>
      <c r="Q65" s="39"/>
      <c r="R65" s="39"/>
      <c r="S65" s="39"/>
      <c r="T65" s="52"/>
      <c r="U65" s="39"/>
      <c r="V65" s="39"/>
      <c r="AP65" s="39"/>
      <c r="AQ65" s="39"/>
      <c r="AR65" s="39"/>
      <c r="AS65" s="39"/>
      <c r="AT65" s="39"/>
      <c r="AU65" s="39"/>
    </row>
    <row r="66" spans="1:47" ht="13.5" customHeight="1" x14ac:dyDescent="0.2">
      <c r="A66" s="20" t="s">
        <v>135</v>
      </c>
      <c r="B66" s="20"/>
      <c r="C66" s="20"/>
      <c r="D66" s="20"/>
      <c r="E66" s="21">
        <v>231486</v>
      </c>
      <c r="F66" s="22">
        <v>1</v>
      </c>
      <c r="G66" s="22">
        <v>1</v>
      </c>
      <c r="H66" s="23" t="s">
        <v>136</v>
      </c>
      <c r="I66" s="20" t="s">
        <v>137</v>
      </c>
      <c r="J66" s="20"/>
      <c r="P66" s="39" t="s">
        <v>239</v>
      </c>
      <c r="Q66" s="39">
        <v>231486</v>
      </c>
      <c r="R66" s="39">
        <v>1</v>
      </c>
      <c r="S66" s="40">
        <v>1</v>
      </c>
      <c r="T66" s="52">
        <v>46104.385416666664</v>
      </c>
      <c r="U66" s="42" t="s">
        <v>63</v>
      </c>
      <c r="V66" s="42" t="s">
        <v>188</v>
      </c>
      <c r="AP66" s="39" t="s">
        <v>239</v>
      </c>
      <c r="AQ66" s="39">
        <v>231486</v>
      </c>
      <c r="AR66" s="39">
        <v>1</v>
      </c>
      <c r="AS66" s="39">
        <v>1</v>
      </c>
      <c r="AT66" s="41">
        <v>46104.375</v>
      </c>
      <c r="AU66" s="42" t="s">
        <v>63</v>
      </c>
    </row>
    <row r="67" spans="1:47" ht="13.5" customHeight="1" x14ac:dyDescent="0.2">
      <c r="A67" s="20" t="s">
        <v>138</v>
      </c>
      <c r="B67" s="20"/>
      <c r="C67" s="20"/>
      <c r="D67" s="20"/>
      <c r="E67" s="21">
        <v>231487</v>
      </c>
      <c r="F67" s="22">
        <v>1</v>
      </c>
      <c r="G67" s="22">
        <v>1</v>
      </c>
      <c r="H67" s="23" t="s">
        <v>49</v>
      </c>
      <c r="I67" s="20" t="s">
        <v>42</v>
      </c>
      <c r="J67" s="20"/>
      <c r="P67" s="39" t="s">
        <v>240</v>
      </c>
      <c r="Q67" s="39">
        <v>231487</v>
      </c>
      <c r="R67" s="39">
        <v>1</v>
      </c>
      <c r="S67" s="40">
        <v>1</v>
      </c>
      <c r="T67" s="52">
        <v>46104.412499999999</v>
      </c>
      <c r="U67" s="42" t="s">
        <v>63</v>
      </c>
      <c r="V67" s="42" t="s">
        <v>188</v>
      </c>
      <c r="AP67" s="39" t="s">
        <v>240</v>
      </c>
      <c r="AQ67" s="39">
        <v>231487</v>
      </c>
      <c r="AR67" s="39">
        <v>1</v>
      </c>
      <c r="AS67" s="39">
        <v>1</v>
      </c>
      <c r="AT67" s="41">
        <v>46104.412499999999</v>
      </c>
      <c r="AU67" s="42" t="s">
        <v>63</v>
      </c>
    </row>
    <row r="68" spans="1:47" ht="13.5" customHeight="1" x14ac:dyDescent="0.2">
      <c r="A68" s="19" t="s">
        <v>55</v>
      </c>
      <c r="P68" s="39"/>
      <c r="Q68" s="39"/>
      <c r="R68" s="39"/>
      <c r="S68" s="39"/>
      <c r="T68" s="52"/>
      <c r="U68" s="39"/>
      <c r="V68" s="39"/>
      <c r="AP68" s="39"/>
      <c r="AQ68" s="39"/>
      <c r="AR68" s="39"/>
      <c r="AS68" s="39"/>
      <c r="AT68" s="39"/>
      <c r="AU68" s="39"/>
    </row>
    <row r="69" spans="1:47" ht="13.5" customHeight="1" x14ac:dyDescent="0.2">
      <c r="A69" s="20" t="s">
        <v>139</v>
      </c>
      <c r="B69" s="20"/>
      <c r="C69" s="20"/>
      <c r="D69" s="20"/>
      <c r="E69" s="21">
        <v>231426</v>
      </c>
      <c r="F69" s="22">
        <v>1</v>
      </c>
      <c r="G69" s="22">
        <v>4</v>
      </c>
      <c r="H69" s="23" t="s">
        <v>140</v>
      </c>
      <c r="I69" s="20" t="s">
        <v>141</v>
      </c>
      <c r="J69" s="20"/>
      <c r="P69" s="39"/>
      <c r="Q69" s="39"/>
      <c r="R69" s="39"/>
      <c r="S69" s="39"/>
      <c r="T69" s="52"/>
      <c r="U69" s="39"/>
      <c r="V69" s="39"/>
      <c r="AP69" s="39"/>
      <c r="AQ69" s="39"/>
      <c r="AR69" s="39"/>
      <c r="AS69" s="39"/>
      <c r="AT69" s="39"/>
      <c r="AU69" s="39"/>
    </row>
    <row r="70" spans="1:47" ht="13.5" customHeight="1" x14ac:dyDescent="0.2">
      <c r="A70" s="19" t="s">
        <v>8</v>
      </c>
      <c r="P70" s="39"/>
      <c r="Q70" s="39"/>
      <c r="R70" s="39"/>
      <c r="S70" s="39"/>
      <c r="T70" s="52"/>
      <c r="U70" s="39"/>
      <c r="V70" s="39"/>
      <c r="AP70" s="39"/>
      <c r="AQ70" s="39"/>
      <c r="AR70" s="39"/>
      <c r="AS70" s="39"/>
      <c r="AT70" s="39"/>
      <c r="AU70" s="39"/>
    </row>
    <row r="71" spans="1:47" ht="13.5" customHeight="1" x14ac:dyDescent="0.2">
      <c r="A71" s="20" t="s">
        <v>142</v>
      </c>
      <c r="B71" s="20"/>
      <c r="C71" s="20"/>
      <c r="D71" s="20"/>
      <c r="E71" s="21">
        <v>231297</v>
      </c>
      <c r="F71" s="22">
        <v>1</v>
      </c>
      <c r="G71" s="22">
        <v>1</v>
      </c>
      <c r="H71" s="23" t="s">
        <v>143</v>
      </c>
      <c r="I71" s="20" t="s">
        <v>27</v>
      </c>
      <c r="J71" s="20"/>
      <c r="P71" s="39" t="s">
        <v>241</v>
      </c>
      <c r="Q71" s="39">
        <v>231297</v>
      </c>
      <c r="R71" s="39">
        <v>1</v>
      </c>
      <c r="S71" s="40">
        <v>1</v>
      </c>
      <c r="T71" s="52">
        <v>46104.276388888888</v>
      </c>
      <c r="U71" s="42" t="s">
        <v>63</v>
      </c>
      <c r="V71" s="42" t="s">
        <v>188</v>
      </c>
      <c r="AP71" s="39" t="s">
        <v>241</v>
      </c>
      <c r="AQ71" s="39">
        <v>231297</v>
      </c>
      <c r="AR71" s="39">
        <v>1</v>
      </c>
      <c r="AS71" s="39">
        <v>1</v>
      </c>
      <c r="AT71" s="41">
        <v>46101.335416666669</v>
      </c>
      <c r="AU71" s="42" t="s">
        <v>63</v>
      </c>
    </row>
    <row r="72" spans="1:47" ht="13.5" customHeight="1" x14ac:dyDescent="0.2">
      <c r="A72" s="20" t="s">
        <v>142</v>
      </c>
      <c r="B72" s="20"/>
      <c r="C72" s="20"/>
      <c r="D72" s="20"/>
      <c r="E72" s="21">
        <v>231297</v>
      </c>
      <c r="F72" s="22">
        <v>2</v>
      </c>
      <c r="G72" s="22">
        <v>1</v>
      </c>
      <c r="H72" s="23" t="s">
        <v>144</v>
      </c>
      <c r="I72" s="20" t="s">
        <v>27</v>
      </c>
      <c r="J72" s="20"/>
      <c r="P72" s="39" t="s">
        <v>242</v>
      </c>
      <c r="Q72" s="39">
        <v>231297</v>
      </c>
      <c r="R72" s="39">
        <v>2</v>
      </c>
      <c r="S72" s="40">
        <v>1</v>
      </c>
      <c r="T72" s="52">
        <v>46104.268055555556</v>
      </c>
      <c r="U72" s="42" t="s">
        <v>63</v>
      </c>
      <c r="V72" s="42" t="s">
        <v>188</v>
      </c>
      <c r="AP72" s="39" t="s">
        <v>242</v>
      </c>
      <c r="AQ72" s="39">
        <v>231297</v>
      </c>
      <c r="AR72" s="39">
        <v>2</v>
      </c>
      <c r="AS72" s="39">
        <v>1</v>
      </c>
      <c r="AT72" s="41">
        <v>46101.338888888888</v>
      </c>
      <c r="AU72" s="42" t="s">
        <v>63</v>
      </c>
    </row>
    <row r="73" spans="1:47" ht="13.5" customHeight="1" x14ac:dyDescent="0.2">
      <c r="A73" s="20" t="s">
        <v>145</v>
      </c>
      <c r="B73" s="20"/>
      <c r="C73" s="20"/>
      <c r="D73" s="20"/>
      <c r="E73" s="21">
        <v>231298</v>
      </c>
      <c r="F73" s="22">
        <v>1</v>
      </c>
      <c r="G73" s="22">
        <v>1</v>
      </c>
      <c r="H73" s="23" t="s">
        <v>146</v>
      </c>
      <c r="I73" s="20" t="s">
        <v>77</v>
      </c>
      <c r="J73" s="20"/>
      <c r="P73" s="39" t="s">
        <v>243</v>
      </c>
      <c r="Q73" s="39">
        <v>231298</v>
      </c>
      <c r="R73" s="39">
        <v>1</v>
      </c>
      <c r="S73" s="40">
        <v>1</v>
      </c>
      <c r="T73" s="52">
        <v>46104.453472222223</v>
      </c>
      <c r="U73" s="42" t="s">
        <v>63</v>
      </c>
      <c r="V73" s="42" t="s">
        <v>188</v>
      </c>
      <c r="AP73" s="39" t="s">
        <v>243</v>
      </c>
      <c r="AQ73" s="39">
        <v>231298</v>
      </c>
      <c r="AR73" s="39">
        <v>1</v>
      </c>
      <c r="AS73" s="39">
        <v>1</v>
      </c>
      <c r="AT73" s="41">
        <v>46104.453472222223</v>
      </c>
      <c r="AU73" s="42" t="s">
        <v>63</v>
      </c>
    </row>
    <row r="74" spans="1:47" ht="13.5" customHeight="1" x14ac:dyDescent="0.2">
      <c r="A74" s="20" t="s">
        <v>145</v>
      </c>
      <c r="B74" s="20"/>
      <c r="C74" s="20"/>
      <c r="D74" s="20"/>
      <c r="E74" s="21">
        <v>231298</v>
      </c>
      <c r="F74" s="22">
        <v>2</v>
      </c>
      <c r="G74" s="22">
        <v>1</v>
      </c>
      <c r="H74" s="23" t="s">
        <v>147</v>
      </c>
      <c r="I74" s="20" t="s">
        <v>77</v>
      </c>
      <c r="J74" s="20"/>
      <c r="P74" s="39" t="s">
        <v>244</v>
      </c>
      <c r="Q74" s="39">
        <v>231298</v>
      </c>
      <c r="R74" s="39">
        <v>2</v>
      </c>
      <c r="S74" s="39">
        <v>1</v>
      </c>
      <c r="T74" s="52">
        <v>46104.272916666669</v>
      </c>
      <c r="U74" s="44" t="s">
        <v>63</v>
      </c>
      <c r="V74" s="44" t="s">
        <v>188</v>
      </c>
      <c r="AP74" s="39" t="s">
        <v>244</v>
      </c>
      <c r="AQ74" s="39">
        <v>231298</v>
      </c>
      <c r="AR74" s="39">
        <v>2</v>
      </c>
      <c r="AS74" s="39">
        <v>1</v>
      </c>
      <c r="AT74" s="41">
        <v>46101.335416666669</v>
      </c>
      <c r="AU74" s="42" t="s">
        <v>63</v>
      </c>
    </row>
    <row r="75" spans="1:47" ht="13.5" customHeight="1" x14ac:dyDescent="0.2">
      <c r="A75" s="20" t="s">
        <v>148</v>
      </c>
      <c r="B75" s="20"/>
      <c r="C75" s="20"/>
      <c r="D75" s="20"/>
      <c r="E75" s="21">
        <v>231299</v>
      </c>
      <c r="F75" s="22">
        <v>1</v>
      </c>
      <c r="G75" s="22">
        <v>1</v>
      </c>
      <c r="H75" s="23" t="s">
        <v>149</v>
      </c>
      <c r="I75" s="20" t="s">
        <v>150</v>
      </c>
      <c r="J75" s="20"/>
      <c r="P75" s="39" t="s">
        <v>245</v>
      </c>
      <c r="Q75" s="39">
        <v>231299</v>
      </c>
      <c r="R75" s="39">
        <v>1</v>
      </c>
      <c r="S75" s="39">
        <v>1</v>
      </c>
      <c r="T75" s="52">
        <v>46104.274305555555</v>
      </c>
      <c r="U75" s="44" t="s">
        <v>63</v>
      </c>
      <c r="V75" s="44" t="s">
        <v>188</v>
      </c>
      <c r="AP75" s="39" t="s">
        <v>245</v>
      </c>
      <c r="AQ75" s="39">
        <v>231299</v>
      </c>
      <c r="AR75" s="39">
        <v>1</v>
      </c>
      <c r="AS75" s="39">
        <v>1</v>
      </c>
      <c r="AT75" s="41">
        <v>46101.334722222222</v>
      </c>
      <c r="AU75" s="42" t="s">
        <v>63</v>
      </c>
    </row>
    <row r="76" spans="1:47" ht="13.5" customHeight="1" x14ac:dyDescent="0.2">
      <c r="A76" s="20" t="s">
        <v>151</v>
      </c>
      <c r="B76" s="20"/>
      <c r="C76" s="20"/>
      <c r="D76" s="20"/>
      <c r="E76" s="21">
        <v>231300</v>
      </c>
      <c r="F76" s="22">
        <v>1</v>
      </c>
      <c r="G76" s="22">
        <v>1</v>
      </c>
      <c r="H76" s="23" t="s">
        <v>152</v>
      </c>
      <c r="I76" s="20" t="s">
        <v>153</v>
      </c>
      <c r="J76" s="20"/>
      <c r="P76" s="39" t="s">
        <v>244</v>
      </c>
      <c r="Q76" s="39">
        <v>231300</v>
      </c>
      <c r="R76" s="39">
        <v>1</v>
      </c>
      <c r="S76" s="40">
        <v>1</v>
      </c>
      <c r="T76" s="52">
        <v>46104.271527777775</v>
      </c>
      <c r="U76" s="42" t="s">
        <v>63</v>
      </c>
      <c r="V76" s="42" t="s">
        <v>188</v>
      </c>
      <c r="AP76" s="39" t="s">
        <v>266</v>
      </c>
      <c r="AQ76" s="39">
        <v>231300</v>
      </c>
      <c r="AR76" s="39">
        <v>1</v>
      </c>
      <c r="AS76" s="39">
        <v>1</v>
      </c>
      <c r="AT76" s="41">
        <v>46101.338194444441</v>
      </c>
      <c r="AU76" s="42" t="s">
        <v>63</v>
      </c>
    </row>
    <row r="77" spans="1:47" ht="13.5" customHeight="1" x14ac:dyDescent="0.2">
      <c r="A77" s="20" t="s">
        <v>151</v>
      </c>
      <c r="B77" s="20"/>
      <c r="C77" s="20"/>
      <c r="D77" s="20"/>
      <c r="E77" s="21">
        <v>231300</v>
      </c>
      <c r="F77" s="22">
        <v>2</v>
      </c>
      <c r="G77" s="22">
        <v>1</v>
      </c>
      <c r="H77" s="23" t="s">
        <v>154</v>
      </c>
      <c r="I77" s="20" t="s">
        <v>153</v>
      </c>
      <c r="J77" s="20"/>
      <c r="P77" s="39" t="s">
        <v>246</v>
      </c>
      <c r="Q77" s="39">
        <v>231300</v>
      </c>
      <c r="R77" s="39">
        <v>2</v>
      </c>
      <c r="S77" s="40">
        <v>1</v>
      </c>
      <c r="T77" s="52">
        <v>46104.45416666667</v>
      </c>
      <c r="U77" s="42" t="s">
        <v>63</v>
      </c>
      <c r="V77" s="42" t="s">
        <v>188</v>
      </c>
      <c r="AP77" s="39" t="s">
        <v>246</v>
      </c>
      <c r="AQ77" s="39">
        <v>231300</v>
      </c>
      <c r="AR77" s="39">
        <v>2</v>
      </c>
      <c r="AS77" s="39">
        <v>1</v>
      </c>
      <c r="AT77" s="41">
        <v>46101.549305555556</v>
      </c>
      <c r="AU77" s="42" t="s">
        <v>63</v>
      </c>
    </row>
    <row r="78" spans="1:47" ht="13.5" customHeight="1" x14ac:dyDescent="0.2">
      <c r="A78" s="20" t="s">
        <v>155</v>
      </c>
      <c r="B78" s="20"/>
      <c r="C78" s="20"/>
      <c r="D78" s="20"/>
      <c r="E78" s="21">
        <v>231301</v>
      </c>
      <c r="F78" s="22">
        <v>1</v>
      </c>
      <c r="G78" s="22">
        <v>1</v>
      </c>
      <c r="H78" s="23" t="s">
        <v>156</v>
      </c>
      <c r="I78" s="20" t="s">
        <v>153</v>
      </c>
      <c r="J78" s="20"/>
      <c r="P78" s="39" t="s">
        <v>247</v>
      </c>
      <c r="Q78" s="39">
        <v>231301</v>
      </c>
      <c r="R78" s="39">
        <v>1</v>
      </c>
      <c r="S78" s="40">
        <v>1</v>
      </c>
      <c r="T78" s="52">
        <v>46104.273611111108</v>
      </c>
      <c r="U78" s="42" t="s">
        <v>63</v>
      </c>
      <c r="V78" s="42" t="s">
        <v>188</v>
      </c>
      <c r="AP78" s="39" t="s">
        <v>247</v>
      </c>
      <c r="AQ78" s="39">
        <v>231301</v>
      </c>
      <c r="AR78" s="39">
        <v>1</v>
      </c>
      <c r="AS78" s="39">
        <v>1</v>
      </c>
      <c r="AT78" s="41">
        <v>46101.336805555555</v>
      </c>
      <c r="AU78" s="42" t="s">
        <v>63</v>
      </c>
    </row>
    <row r="79" spans="1:47" ht="13.5" customHeight="1" x14ac:dyDescent="0.2">
      <c r="A79" s="20" t="s">
        <v>155</v>
      </c>
      <c r="B79" s="20"/>
      <c r="C79" s="20"/>
      <c r="D79" s="20"/>
      <c r="E79" s="21">
        <v>231301</v>
      </c>
      <c r="F79" s="22">
        <v>2</v>
      </c>
      <c r="G79" s="22">
        <v>1</v>
      </c>
      <c r="H79" s="23" t="s">
        <v>157</v>
      </c>
      <c r="I79" s="20" t="s">
        <v>153</v>
      </c>
      <c r="J79" s="20"/>
      <c r="P79" s="39" t="s">
        <v>248</v>
      </c>
      <c r="Q79" s="39">
        <v>231301</v>
      </c>
      <c r="R79" s="39">
        <v>2</v>
      </c>
      <c r="S79" s="40">
        <v>1</v>
      </c>
      <c r="T79" s="52">
        <v>46104.271527777775</v>
      </c>
      <c r="U79" s="42" t="s">
        <v>63</v>
      </c>
      <c r="V79" s="42" t="s">
        <v>188</v>
      </c>
      <c r="AP79" s="39" t="s">
        <v>248</v>
      </c>
      <c r="AQ79" s="39">
        <v>231301</v>
      </c>
      <c r="AR79" s="39">
        <v>2</v>
      </c>
      <c r="AS79" s="39">
        <v>1</v>
      </c>
      <c r="AT79" s="41">
        <v>46101.338194444441</v>
      </c>
      <c r="AU79" s="42" t="s">
        <v>63</v>
      </c>
    </row>
    <row r="80" spans="1:47" ht="13.5" customHeight="1" x14ac:dyDescent="0.2">
      <c r="A80" s="20" t="s">
        <v>158</v>
      </c>
      <c r="B80" s="20"/>
      <c r="C80" s="20"/>
      <c r="D80" s="20"/>
      <c r="E80" s="21">
        <v>231302</v>
      </c>
      <c r="F80" s="22">
        <v>1</v>
      </c>
      <c r="G80" s="22">
        <v>1</v>
      </c>
      <c r="H80" s="23" t="s">
        <v>159</v>
      </c>
      <c r="I80" s="20" t="s">
        <v>153</v>
      </c>
      <c r="J80" s="20"/>
      <c r="P80" s="39" t="s">
        <v>249</v>
      </c>
      <c r="Q80" s="39">
        <v>231302</v>
      </c>
      <c r="R80" s="39">
        <v>1</v>
      </c>
      <c r="S80" s="40">
        <v>1</v>
      </c>
      <c r="T80" s="52">
        <v>46104.272222222222</v>
      </c>
      <c r="U80" s="42" t="s">
        <v>63</v>
      </c>
      <c r="V80" s="42" t="s">
        <v>188</v>
      </c>
      <c r="AP80" s="39" t="s">
        <v>249</v>
      </c>
      <c r="AQ80" s="39">
        <v>231302</v>
      </c>
      <c r="AR80" s="39">
        <v>1</v>
      </c>
      <c r="AS80" s="39">
        <v>1</v>
      </c>
      <c r="AT80" s="41">
        <v>46101.337500000001</v>
      </c>
      <c r="AU80" s="42" t="s">
        <v>63</v>
      </c>
    </row>
    <row r="81" spans="1:47" ht="13.5" customHeight="1" x14ac:dyDescent="0.2">
      <c r="A81" s="20" t="s">
        <v>158</v>
      </c>
      <c r="B81" s="20"/>
      <c r="C81" s="20"/>
      <c r="D81" s="20"/>
      <c r="E81" s="21">
        <v>231302</v>
      </c>
      <c r="F81" s="22">
        <v>2</v>
      </c>
      <c r="G81" s="22">
        <v>1</v>
      </c>
      <c r="H81" s="23" t="s">
        <v>144</v>
      </c>
      <c r="I81" s="20" t="s">
        <v>153</v>
      </c>
      <c r="J81" s="20"/>
      <c r="P81" s="39" t="s">
        <v>250</v>
      </c>
      <c r="Q81" s="39">
        <v>231302</v>
      </c>
      <c r="R81" s="39">
        <v>2</v>
      </c>
      <c r="S81" s="40">
        <v>1</v>
      </c>
      <c r="T81" s="52">
        <v>46104.268750000003</v>
      </c>
      <c r="U81" s="42" t="s">
        <v>63</v>
      </c>
      <c r="V81" s="42" t="s">
        <v>188</v>
      </c>
      <c r="AP81" s="39" t="s">
        <v>250</v>
      </c>
      <c r="AQ81" s="39">
        <v>231302</v>
      </c>
      <c r="AR81" s="39">
        <v>2</v>
      </c>
      <c r="AS81" s="39">
        <v>1</v>
      </c>
      <c r="AT81" s="41">
        <v>46101.338194444441</v>
      </c>
      <c r="AU81" s="42" t="s">
        <v>63</v>
      </c>
    </row>
    <row r="82" spans="1:47" ht="13.5" customHeight="1" x14ac:dyDescent="0.2">
      <c r="A82" s="20" t="s">
        <v>160</v>
      </c>
      <c r="B82" s="20"/>
      <c r="C82" s="20"/>
      <c r="D82" s="20"/>
      <c r="E82" s="21">
        <v>231303</v>
      </c>
      <c r="F82" s="22">
        <v>1</v>
      </c>
      <c r="G82" s="22">
        <v>1</v>
      </c>
      <c r="H82" s="23" t="s">
        <v>161</v>
      </c>
      <c r="I82" s="20" t="s">
        <v>83</v>
      </c>
      <c r="J82" s="20"/>
      <c r="P82" s="39" t="s">
        <v>251</v>
      </c>
      <c r="Q82" s="39">
        <v>231303</v>
      </c>
      <c r="R82" s="39">
        <v>1</v>
      </c>
      <c r="S82" s="40">
        <v>1</v>
      </c>
      <c r="T82" s="52">
        <v>46104.263888888891</v>
      </c>
      <c r="U82" s="42" t="s">
        <v>63</v>
      </c>
      <c r="V82" s="42" t="s">
        <v>188</v>
      </c>
      <c r="AP82" s="39" t="s">
        <v>251</v>
      </c>
      <c r="AQ82" s="39">
        <v>231303</v>
      </c>
      <c r="AR82" s="39">
        <v>1</v>
      </c>
      <c r="AS82" s="39">
        <v>1</v>
      </c>
      <c r="AT82" s="41">
        <v>46101.333333333336</v>
      </c>
      <c r="AU82" s="42" t="s">
        <v>63</v>
      </c>
    </row>
    <row r="83" spans="1:47" ht="13.5" customHeight="1" x14ac:dyDescent="0.2">
      <c r="A83" s="20" t="s">
        <v>160</v>
      </c>
      <c r="B83" s="20"/>
      <c r="C83" s="20"/>
      <c r="D83" s="20"/>
      <c r="E83" s="21">
        <v>231303</v>
      </c>
      <c r="F83" s="22">
        <v>2</v>
      </c>
      <c r="G83" s="22">
        <v>1</v>
      </c>
      <c r="H83" s="23" t="s">
        <v>162</v>
      </c>
      <c r="I83" s="20" t="s">
        <v>83</v>
      </c>
      <c r="J83" s="20"/>
      <c r="P83" s="39" t="s">
        <v>252</v>
      </c>
      <c r="Q83" s="39">
        <v>231303</v>
      </c>
      <c r="R83" s="39">
        <v>2</v>
      </c>
      <c r="S83" s="40">
        <v>1</v>
      </c>
      <c r="T83" s="52">
        <v>46104.275000000001</v>
      </c>
      <c r="U83" s="42" t="s">
        <v>63</v>
      </c>
      <c r="V83" s="42" t="s">
        <v>188</v>
      </c>
      <c r="AP83" s="39" t="s">
        <v>252</v>
      </c>
      <c r="AQ83" s="39">
        <v>231303</v>
      </c>
      <c r="AR83" s="39">
        <v>2</v>
      </c>
      <c r="AS83" s="39">
        <v>1</v>
      </c>
      <c r="AT83" s="41">
        <v>46101.336111111108</v>
      </c>
      <c r="AU83" s="42" t="s">
        <v>63</v>
      </c>
    </row>
    <row r="84" spans="1:47" ht="13.5" customHeight="1" x14ac:dyDescent="0.2">
      <c r="A84" s="20" t="s">
        <v>160</v>
      </c>
      <c r="B84" s="20"/>
      <c r="C84" s="20"/>
      <c r="D84" s="20"/>
      <c r="E84" s="21">
        <v>231303</v>
      </c>
      <c r="F84" s="22">
        <v>3</v>
      </c>
      <c r="G84" s="22">
        <v>1</v>
      </c>
      <c r="H84" s="23" t="s">
        <v>163</v>
      </c>
      <c r="I84" s="20" t="s">
        <v>83</v>
      </c>
      <c r="J84" s="20"/>
      <c r="P84" s="39" t="s">
        <v>253</v>
      </c>
      <c r="Q84" s="39">
        <v>231303</v>
      </c>
      <c r="R84" s="39">
        <v>3</v>
      </c>
      <c r="S84" s="40">
        <v>1</v>
      </c>
      <c r="T84" s="52">
        <v>46104.273611111108</v>
      </c>
      <c r="U84" s="42" t="s">
        <v>63</v>
      </c>
      <c r="V84" s="42" t="s">
        <v>188</v>
      </c>
      <c r="AP84" s="39" t="s">
        <v>253</v>
      </c>
      <c r="AQ84" s="39">
        <v>231303</v>
      </c>
      <c r="AR84" s="39">
        <v>3</v>
      </c>
      <c r="AS84" s="39">
        <v>1</v>
      </c>
      <c r="AT84" s="41">
        <v>46101.336805555555</v>
      </c>
      <c r="AU84" s="42" t="s">
        <v>63</v>
      </c>
    </row>
    <row r="85" spans="1:47" ht="13.5" customHeight="1" x14ac:dyDescent="0.2">
      <c r="A85" s="20" t="s">
        <v>160</v>
      </c>
      <c r="B85" s="20"/>
      <c r="C85" s="20"/>
      <c r="D85" s="20"/>
      <c r="E85" s="21">
        <v>231303</v>
      </c>
      <c r="F85" s="22">
        <v>4</v>
      </c>
      <c r="G85" s="22">
        <v>1</v>
      </c>
      <c r="H85" s="23" t="s">
        <v>164</v>
      </c>
      <c r="I85" s="20" t="s">
        <v>83</v>
      </c>
      <c r="J85" s="20"/>
      <c r="P85" s="39"/>
      <c r="Q85" s="39"/>
      <c r="R85" s="39"/>
      <c r="S85" s="39"/>
      <c r="T85" s="52"/>
      <c r="U85" s="39"/>
      <c r="V85" s="39"/>
      <c r="AP85" s="39"/>
      <c r="AQ85" s="39"/>
      <c r="AR85" s="39"/>
      <c r="AS85" s="39"/>
      <c r="AT85" s="39"/>
      <c r="AU85" s="39"/>
    </row>
    <row r="86" spans="1:47" ht="13.5" customHeight="1" x14ac:dyDescent="0.2">
      <c r="A86" s="20" t="s">
        <v>165</v>
      </c>
      <c r="B86" s="20"/>
      <c r="C86" s="20"/>
      <c r="D86" s="20"/>
      <c r="E86" s="21">
        <v>231304</v>
      </c>
      <c r="F86" s="22">
        <v>1</v>
      </c>
      <c r="G86" s="22">
        <v>1</v>
      </c>
      <c r="H86" s="23" t="s">
        <v>166</v>
      </c>
      <c r="I86" s="20" t="s">
        <v>153</v>
      </c>
      <c r="J86" s="20"/>
      <c r="P86" s="39" t="s">
        <v>254</v>
      </c>
      <c r="Q86" s="39">
        <v>231304</v>
      </c>
      <c r="R86" s="39">
        <v>1</v>
      </c>
      <c r="S86" s="40">
        <v>1</v>
      </c>
      <c r="T86" s="52">
        <v>46104.275000000001</v>
      </c>
      <c r="U86" s="42" t="s">
        <v>63</v>
      </c>
      <c r="V86" s="42" t="s">
        <v>188</v>
      </c>
      <c r="AP86" s="39" t="s">
        <v>254</v>
      </c>
      <c r="AQ86" s="39">
        <v>231304</v>
      </c>
      <c r="AR86" s="39">
        <v>1</v>
      </c>
      <c r="AS86" s="39">
        <v>1</v>
      </c>
      <c r="AT86" s="41">
        <v>46101.336111111108</v>
      </c>
      <c r="AU86" s="42" t="s">
        <v>63</v>
      </c>
    </row>
    <row r="87" spans="1:47" ht="13.5" customHeight="1" x14ac:dyDescent="0.2">
      <c r="A87" s="20" t="s">
        <v>165</v>
      </c>
      <c r="B87" s="20"/>
      <c r="C87" s="20"/>
      <c r="D87" s="20"/>
      <c r="E87" s="21">
        <v>231304</v>
      </c>
      <c r="F87" s="22">
        <v>2</v>
      </c>
      <c r="G87" s="22">
        <v>1</v>
      </c>
      <c r="H87" s="23" t="s">
        <v>167</v>
      </c>
      <c r="I87" s="20" t="s">
        <v>153</v>
      </c>
      <c r="J87" s="20"/>
      <c r="P87" s="39" t="s">
        <v>255</v>
      </c>
      <c r="Q87" s="39">
        <v>231304</v>
      </c>
      <c r="R87" s="39">
        <v>2</v>
      </c>
      <c r="S87" s="40">
        <v>1</v>
      </c>
      <c r="T87" s="52">
        <v>46104.270833333336</v>
      </c>
      <c r="U87" s="42" t="s">
        <v>63</v>
      </c>
      <c r="V87" s="42" t="s">
        <v>188</v>
      </c>
      <c r="AP87" s="39" t="s">
        <v>255</v>
      </c>
      <c r="AQ87" s="39">
        <v>231304</v>
      </c>
      <c r="AR87" s="39">
        <v>2</v>
      </c>
      <c r="AS87" s="39">
        <v>1</v>
      </c>
      <c r="AT87" s="41">
        <v>46101.338194444441</v>
      </c>
      <c r="AU87" s="42" t="s">
        <v>63</v>
      </c>
    </row>
    <row r="88" spans="1:47" ht="13.5" customHeight="1" x14ac:dyDescent="0.2">
      <c r="A88" s="20" t="s">
        <v>165</v>
      </c>
      <c r="B88" s="20"/>
      <c r="C88" s="20"/>
      <c r="D88" s="20"/>
      <c r="E88" s="21">
        <v>231304</v>
      </c>
      <c r="F88" s="22">
        <v>3</v>
      </c>
      <c r="G88" s="22">
        <v>1</v>
      </c>
      <c r="H88" s="23" t="s">
        <v>168</v>
      </c>
      <c r="I88" s="20" t="s">
        <v>153</v>
      </c>
      <c r="J88" s="20"/>
      <c r="P88" s="39" t="s">
        <v>256</v>
      </c>
      <c r="Q88" s="39">
        <v>231304</v>
      </c>
      <c r="R88" s="39">
        <v>3</v>
      </c>
      <c r="S88" s="40">
        <v>1</v>
      </c>
      <c r="T88" s="52">
        <v>46104.267361111109</v>
      </c>
      <c r="U88" s="42" t="s">
        <v>63</v>
      </c>
      <c r="V88" s="42" t="s">
        <v>188</v>
      </c>
      <c r="AP88" s="39" t="s">
        <v>256</v>
      </c>
      <c r="AQ88" s="39">
        <v>231304</v>
      </c>
      <c r="AR88" s="39">
        <v>3</v>
      </c>
      <c r="AS88" s="39">
        <v>1</v>
      </c>
      <c r="AT88" s="41">
        <v>46101.338888888888</v>
      </c>
      <c r="AU88" s="42" t="s">
        <v>63</v>
      </c>
    </row>
    <row r="89" spans="1:47" ht="13.5" customHeight="1" x14ac:dyDescent="0.2">
      <c r="A89" s="20" t="s">
        <v>169</v>
      </c>
      <c r="B89" s="20"/>
      <c r="C89" s="20"/>
      <c r="D89" s="20"/>
      <c r="E89" s="21">
        <v>231305</v>
      </c>
      <c r="F89" s="22">
        <v>1</v>
      </c>
      <c r="G89" s="22">
        <v>1</v>
      </c>
      <c r="H89" s="23" t="s">
        <v>170</v>
      </c>
      <c r="I89" s="20" t="s">
        <v>153</v>
      </c>
      <c r="J89" s="20"/>
      <c r="P89" s="39" t="s">
        <v>257</v>
      </c>
      <c r="Q89" s="39">
        <v>231305</v>
      </c>
      <c r="R89" s="39">
        <v>1</v>
      </c>
      <c r="S89" s="40">
        <v>1</v>
      </c>
      <c r="T89" s="52">
        <v>46104.275694444441</v>
      </c>
      <c r="U89" s="42" t="s">
        <v>63</v>
      </c>
      <c r="V89" s="42" t="s">
        <v>188</v>
      </c>
      <c r="AP89" s="39" t="s">
        <v>257</v>
      </c>
      <c r="AQ89" s="39">
        <v>231305</v>
      </c>
      <c r="AR89" s="39">
        <v>1</v>
      </c>
      <c r="AS89" s="39">
        <v>1</v>
      </c>
      <c r="AT89" s="41">
        <v>46101.335416666669</v>
      </c>
      <c r="AU89" s="42" t="s">
        <v>63</v>
      </c>
    </row>
    <row r="90" spans="1:47" ht="13.5" customHeight="1" x14ac:dyDescent="0.2">
      <c r="A90" s="20" t="s">
        <v>169</v>
      </c>
      <c r="B90" s="20"/>
      <c r="C90" s="20"/>
      <c r="D90" s="20"/>
      <c r="E90" s="21">
        <v>231305</v>
      </c>
      <c r="F90" s="22">
        <v>2</v>
      </c>
      <c r="G90" s="22">
        <v>1</v>
      </c>
      <c r="H90" s="23" t="s">
        <v>171</v>
      </c>
      <c r="I90" s="20" t="s">
        <v>153</v>
      </c>
      <c r="J90" s="20"/>
      <c r="P90" s="39" t="s">
        <v>258</v>
      </c>
      <c r="Q90" s="39">
        <v>231305</v>
      </c>
      <c r="R90" s="39">
        <v>2</v>
      </c>
      <c r="S90" s="40">
        <v>1</v>
      </c>
      <c r="T90" s="52">
        <v>46104.272222222222</v>
      </c>
      <c r="U90" s="42" t="s">
        <v>63</v>
      </c>
      <c r="V90" s="42" t="s">
        <v>188</v>
      </c>
      <c r="AP90" s="39" t="s">
        <v>258</v>
      </c>
      <c r="AQ90" s="39">
        <v>231305</v>
      </c>
      <c r="AR90" s="39">
        <v>2</v>
      </c>
      <c r="AS90" s="39">
        <v>1</v>
      </c>
      <c r="AT90" s="41">
        <v>46101.337500000001</v>
      </c>
      <c r="AU90" s="42" t="s">
        <v>63</v>
      </c>
    </row>
    <row r="91" spans="1:47" ht="13.5" customHeight="1" x14ac:dyDescent="0.2">
      <c r="A91" s="20" t="s">
        <v>172</v>
      </c>
      <c r="B91" s="20"/>
      <c r="C91" s="20"/>
      <c r="D91" s="20"/>
      <c r="E91" s="21">
        <v>231307</v>
      </c>
      <c r="F91" s="22">
        <v>1</v>
      </c>
      <c r="G91" s="22">
        <v>1</v>
      </c>
      <c r="H91" s="23" t="s">
        <v>173</v>
      </c>
      <c r="I91" s="20" t="s">
        <v>174</v>
      </c>
      <c r="J91" s="20"/>
      <c r="P91" s="39" t="s">
        <v>259</v>
      </c>
      <c r="Q91" s="39">
        <v>231307</v>
      </c>
      <c r="R91" s="39">
        <v>1</v>
      </c>
      <c r="S91" s="40">
        <v>1</v>
      </c>
      <c r="T91" s="52">
        <v>46104.453472222223</v>
      </c>
      <c r="U91" s="42" t="s">
        <v>63</v>
      </c>
      <c r="V91" s="42" t="s">
        <v>188</v>
      </c>
      <c r="AP91" s="39" t="s">
        <v>259</v>
      </c>
      <c r="AQ91" s="39">
        <v>231307</v>
      </c>
      <c r="AR91" s="39">
        <v>1</v>
      </c>
      <c r="AS91" s="39">
        <v>1</v>
      </c>
      <c r="AT91" s="41">
        <v>46101.339583333334</v>
      </c>
      <c r="AU91" s="42" t="s">
        <v>63</v>
      </c>
    </row>
    <row r="92" spans="1:47" ht="13.5" customHeight="1" x14ac:dyDescent="0.2">
      <c r="A92" s="20" t="s">
        <v>175</v>
      </c>
      <c r="B92" s="20"/>
      <c r="C92" s="20"/>
      <c r="D92" s="20"/>
      <c r="E92" s="21">
        <v>231309</v>
      </c>
      <c r="F92" s="22">
        <v>1</v>
      </c>
      <c r="G92" s="22">
        <v>1</v>
      </c>
      <c r="H92" s="23" t="s">
        <v>176</v>
      </c>
      <c r="I92" s="20" t="s">
        <v>177</v>
      </c>
      <c r="J92" s="20"/>
      <c r="P92" s="39" t="s">
        <v>260</v>
      </c>
      <c r="Q92" s="39">
        <v>231309</v>
      </c>
      <c r="R92" s="39">
        <v>1</v>
      </c>
      <c r="S92" s="40">
        <v>1</v>
      </c>
      <c r="T92" s="52">
        <v>46104.272916666669</v>
      </c>
      <c r="U92" s="42" t="s">
        <v>63</v>
      </c>
      <c r="V92" s="42" t="s">
        <v>188</v>
      </c>
      <c r="AP92" s="39" t="s">
        <v>260</v>
      </c>
      <c r="AQ92" s="39">
        <v>231309</v>
      </c>
      <c r="AR92" s="39">
        <v>1</v>
      </c>
      <c r="AS92" s="39">
        <v>1</v>
      </c>
      <c r="AT92" s="41">
        <v>46101.336805555555</v>
      </c>
      <c r="AU92" s="42" t="s">
        <v>63</v>
      </c>
    </row>
    <row r="93" spans="1:47" ht="13.5" customHeight="1" x14ac:dyDescent="0.2">
      <c r="A93" s="20" t="s">
        <v>175</v>
      </c>
      <c r="B93" s="20"/>
      <c r="C93" s="20"/>
      <c r="D93" s="20"/>
      <c r="E93" s="21">
        <v>231309</v>
      </c>
      <c r="F93" s="22">
        <v>2</v>
      </c>
      <c r="G93" s="22">
        <v>1</v>
      </c>
      <c r="H93" s="23" t="s">
        <v>178</v>
      </c>
      <c r="I93" s="20" t="s">
        <v>177</v>
      </c>
      <c r="J93" s="20"/>
      <c r="P93" s="39" t="s">
        <v>261</v>
      </c>
      <c r="Q93" s="39">
        <v>231309</v>
      </c>
      <c r="R93" s="39">
        <v>2</v>
      </c>
      <c r="S93" s="40">
        <v>1</v>
      </c>
      <c r="T93" s="52">
        <v>46104.263194444444</v>
      </c>
      <c r="U93" s="42" t="s">
        <v>63</v>
      </c>
      <c r="V93" s="42" t="s">
        <v>188</v>
      </c>
      <c r="AP93" s="39" t="s">
        <v>261</v>
      </c>
      <c r="AQ93" s="39">
        <v>231309</v>
      </c>
      <c r="AR93" s="39">
        <v>2</v>
      </c>
      <c r="AS93" s="39">
        <v>1</v>
      </c>
      <c r="AT93" s="41">
        <v>46101.584027777775</v>
      </c>
      <c r="AU93" s="42" t="s">
        <v>63</v>
      </c>
    </row>
    <row r="94" spans="1:47" ht="13.5" customHeight="1" x14ac:dyDescent="0.2">
      <c r="A94" s="20" t="s">
        <v>175</v>
      </c>
      <c r="B94" s="20"/>
      <c r="C94" s="20"/>
      <c r="D94" s="20"/>
      <c r="E94" s="21">
        <v>231309</v>
      </c>
      <c r="F94" s="22">
        <v>3</v>
      </c>
      <c r="G94" s="22">
        <v>1</v>
      </c>
      <c r="H94" s="23" t="s">
        <v>179</v>
      </c>
      <c r="I94" s="20" t="s">
        <v>177</v>
      </c>
      <c r="J94" s="20"/>
      <c r="P94" s="39" t="s">
        <v>262</v>
      </c>
      <c r="Q94" s="39">
        <v>231309</v>
      </c>
      <c r="R94" s="39">
        <v>3</v>
      </c>
      <c r="S94" s="40">
        <v>1</v>
      </c>
      <c r="T94" s="52">
        <v>46104.45416666667</v>
      </c>
      <c r="U94" s="42" t="s">
        <v>63</v>
      </c>
      <c r="V94" s="42" t="s">
        <v>188</v>
      </c>
      <c r="AP94" s="39" t="s">
        <v>262</v>
      </c>
      <c r="AQ94" s="39">
        <v>231309</v>
      </c>
      <c r="AR94" s="39">
        <v>3</v>
      </c>
      <c r="AS94" s="39">
        <v>1</v>
      </c>
      <c r="AT94" s="41">
        <v>46101.538888888892</v>
      </c>
      <c r="AU94" s="42" t="s">
        <v>63</v>
      </c>
    </row>
    <row r="95" spans="1:47" ht="13.5" customHeight="1" x14ac:dyDescent="0.2">
      <c r="A95" s="20" t="s">
        <v>180</v>
      </c>
      <c r="B95" s="20"/>
      <c r="C95" s="20"/>
      <c r="D95" s="20"/>
      <c r="E95" s="21">
        <v>231473</v>
      </c>
      <c r="F95" s="22">
        <v>1</v>
      </c>
      <c r="G95" s="22">
        <v>1</v>
      </c>
      <c r="H95" s="23" t="s">
        <v>181</v>
      </c>
      <c r="I95" s="20" t="s">
        <v>46</v>
      </c>
      <c r="J95" s="20"/>
      <c r="P95" s="39" t="s">
        <v>263</v>
      </c>
      <c r="Q95" s="39">
        <v>231473</v>
      </c>
      <c r="R95" s="39">
        <v>1</v>
      </c>
      <c r="S95" s="40">
        <v>1</v>
      </c>
      <c r="T95" s="52">
        <v>46104.265972222223</v>
      </c>
      <c r="U95" s="42" t="s">
        <v>63</v>
      </c>
      <c r="V95" s="42" t="s">
        <v>188</v>
      </c>
      <c r="AP95" s="39" t="s">
        <v>263</v>
      </c>
      <c r="AQ95" s="39">
        <v>231473</v>
      </c>
      <c r="AR95" s="39">
        <v>1</v>
      </c>
      <c r="AS95" s="39">
        <v>1</v>
      </c>
      <c r="AT95" s="41">
        <v>46101.568749999999</v>
      </c>
      <c r="AU95" s="42" t="s">
        <v>63</v>
      </c>
    </row>
    <row r="96" spans="1:47" ht="13.5" customHeight="1" x14ac:dyDescent="0.2">
      <c r="A96" s="20" t="s">
        <v>182</v>
      </c>
      <c r="B96" s="20"/>
      <c r="C96" s="20"/>
      <c r="D96" s="20"/>
      <c r="E96" s="21">
        <v>231474</v>
      </c>
      <c r="F96" s="22">
        <v>2</v>
      </c>
      <c r="G96" s="22">
        <v>1</v>
      </c>
      <c r="H96" s="23" t="s">
        <v>183</v>
      </c>
      <c r="I96" s="20" t="s">
        <v>45</v>
      </c>
      <c r="J96" s="20"/>
      <c r="P96" s="39" t="s">
        <v>264</v>
      </c>
      <c r="Q96" s="39">
        <v>231474</v>
      </c>
      <c r="R96" s="39">
        <v>2</v>
      </c>
      <c r="S96" s="40">
        <v>1</v>
      </c>
      <c r="T96" s="52">
        <v>46104.265972222223</v>
      </c>
      <c r="U96" s="42" t="s">
        <v>63</v>
      </c>
      <c r="V96" s="42" t="s">
        <v>188</v>
      </c>
      <c r="AP96" s="39" t="s">
        <v>264</v>
      </c>
      <c r="AQ96" s="39">
        <v>231474</v>
      </c>
      <c r="AR96" s="39">
        <v>2</v>
      </c>
      <c r="AS96" s="39">
        <v>1</v>
      </c>
      <c r="AT96" s="41">
        <v>46101.582638888889</v>
      </c>
      <c r="AU96" s="42" t="s">
        <v>63</v>
      </c>
    </row>
    <row r="97" spans="1:47" ht="13.5" customHeight="1" x14ac:dyDescent="0.2">
      <c r="A97" s="20" t="s">
        <v>184</v>
      </c>
      <c r="B97" s="20"/>
      <c r="C97" s="20"/>
      <c r="D97" s="20"/>
      <c r="E97" s="21">
        <v>231475</v>
      </c>
      <c r="F97" s="22">
        <v>1</v>
      </c>
      <c r="G97" s="22">
        <v>1</v>
      </c>
      <c r="H97" s="23" t="s">
        <v>185</v>
      </c>
      <c r="I97" s="20" t="s">
        <v>186</v>
      </c>
      <c r="J97" s="20"/>
      <c r="P97" s="39" t="s">
        <v>265</v>
      </c>
      <c r="Q97" s="39">
        <v>231475</v>
      </c>
      <c r="R97" s="39">
        <v>1</v>
      </c>
      <c r="S97" s="40">
        <v>1</v>
      </c>
      <c r="T97" s="52">
        <v>46104.267361111109</v>
      </c>
      <c r="U97" s="42" t="s">
        <v>63</v>
      </c>
      <c r="V97" s="42" t="s">
        <v>188</v>
      </c>
      <c r="AP97" s="39" t="s">
        <v>265</v>
      </c>
      <c r="AQ97" s="39">
        <v>231475</v>
      </c>
      <c r="AR97" s="39">
        <v>1</v>
      </c>
      <c r="AS97" s="39">
        <v>1</v>
      </c>
      <c r="AT97" s="41">
        <v>46101.556250000001</v>
      </c>
      <c r="AU97" s="42" t="s">
        <v>63</v>
      </c>
    </row>
    <row r="98" spans="1:47" ht="12" customHeight="1" x14ac:dyDescent="0.2"/>
    <row r="99" spans="1:47" ht="12.95" customHeight="1" x14ac:dyDescent="0.2"/>
    <row r="100" spans="1:47" ht="15" customHeight="1" x14ac:dyDescent="0.2">
      <c r="J100" s="24"/>
      <c r="K100" s="25"/>
      <c r="L100" s="25"/>
      <c r="M100" s="25"/>
      <c r="N100" s="25"/>
    </row>
  </sheetData>
  <sheetProtection sheet="1" objects="1" scenarios="1" selectLockedCells="1"/>
  <mergeCells count="185">
    <mergeCell ref="A97:D97"/>
    <mergeCell ref="I97:J97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69:D69"/>
    <mergeCell ref="I69:J69"/>
    <mergeCell ref="A71:D71"/>
    <mergeCell ref="I71:J71"/>
    <mergeCell ref="A72:D72"/>
    <mergeCell ref="I72:J72"/>
    <mergeCell ref="A65:D65"/>
    <mergeCell ref="I65:J65"/>
    <mergeCell ref="A66:D66"/>
    <mergeCell ref="I66:J66"/>
    <mergeCell ref="A67:D67"/>
    <mergeCell ref="I67:J67"/>
    <mergeCell ref="A62:D62"/>
    <mergeCell ref="I62:J62"/>
    <mergeCell ref="A63:D63"/>
    <mergeCell ref="I63:J63"/>
    <mergeCell ref="A64:D64"/>
    <mergeCell ref="I64:J64"/>
    <mergeCell ref="A59:D59"/>
    <mergeCell ref="I59:J59"/>
    <mergeCell ref="A60:D60"/>
    <mergeCell ref="I60:J60"/>
    <mergeCell ref="A61:D61"/>
    <mergeCell ref="I61:J61"/>
    <mergeCell ref="A56:D56"/>
    <mergeCell ref="I56:J56"/>
    <mergeCell ref="A57:D57"/>
    <mergeCell ref="I57:J57"/>
    <mergeCell ref="A58:D58"/>
    <mergeCell ref="I58:J58"/>
    <mergeCell ref="A53:D53"/>
    <mergeCell ref="I53:J53"/>
    <mergeCell ref="A54:D54"/>
    <mergeCell ref="I54:J54"/>
    <mergeCell ref="A55:D55"/>
    <mergeCell ref="I55:J55"/>
    <mergeCell ref="A50:D50"/>
    <mergeCell ref="I50:J50"/>
    <mergeCell ref="A51:D51"/>
    <mergeCell ref="I51:J51"/>
    <mergeCell ref="A52:D52"/>
    <mergeCell ref="I52:J52"/>
    <mergeCell ref="A47:D47"/>
    <mergeCell ref="I47:J47"/>
    <mergeCell ref="A48:D48"/>
    <mergeCell ref="I48:J48"/>
    <mergeCell ref="A49:D49"/>
    <mergeCell ref="I49:J49"/>
    <mergeCell ref="A44:D44"/>
    <mergeCell ref="I44:J44"/>
    <mergeCell ref="A45:D45"/>
    <mergeCell ref="I45:J45"/>
    <mergeCell ref="A46:D46"/>
    <mergeCell ref="I46:J46"/>
    <mergeCell ref="A41:D41"/>
    <mergeCell ref="I41:J41"/>
    <mergeCell ref="A42:D42"/>
    <mergeCell ref="I42:J42"/>
    <mergeCell ref="A43:D43"/>
    <mergeCell ref="I43:J43"/>
    <mergeCell ref="A38:D38"/>
    <mergeCell ref="I38:J38"/>
    <mergeCell ref="A39:D39"/>
    <mergeCell ref="I39:J39"/>
    <mergeCell ref="A40:D40"/>
    <mergeCell ref="I40:J40"/>
    <mergeCell ref="A35:D35"/>
    <mergeCell ref="I35:J35"/>
    <mergeCell ref="A36:D36"/>
    <mergeCell ref="I36:J36"/>
    <mergeCell ref="A37:D37"/>
    <mergeCell ref="I37:J37"/>
    <mergeCell ref="A32:D32"/>
    <mergeCell ref="I32:J32"/>
    <mergeCell ref="A33:D33"/>
    <mergeCell ref="I33:J33"/>
    <mergeCell ref="A34:D34"/>
    <mergeCell ref="I34:J34"/>
    <mergeCell ref="A29:D29"/>
    <mergeCell ref="I29:J29"/>
    <mergeCell ref="A30:D30"/>
    <mergeCell ref="I30:J30"/>
    <mergeCell ref="A31:D31"/>
    <mergeCell ref="I31:J31"/>
    <mergeCell ref="A26:D26"/>
    <mergeCell ref="I26:J26"/>
    <mergeCell ref="A27:D27"/>
    <mergeCell ref="I27:J27"/>
    <mergeCell ref="A28:D28"/>
    <mergeCell ref="I28:J28"/>
    <mergeCell ref="A23:D23"/>
    <mergeCell ref="I23:J23"/>
    <mergeCell ref="A24:D24"/>
    <mergeCell ref="I24:J24"/>
    <mergeCell ref="A25:D25"/>
    <mergeCell ref="I25:J25"/>
    <mergeCell ref="A20:D20"/>
    <mergeCell ref="I20:J20"/>
    <mergeCell ref="A21:D21"/>
    <mergeCell ref="I21:J21"/>
    <mergeCell ref="A22:D22"/>
    <mergeCell ref="I22:J22"/>
    <mergeCell ref="A17:D17"/>
    <mergeCell ref="I17:J17"/>
    <mergeCell ref="A18:D18"/>
    <mergeCell ref="I18:J18"/>
    <mergeCell ref="A19:D19"/>
    <mergeCell ref="I19:J19"/>
    <mergeCell ref="A14:D14"/>
    <mergeCell ref="I14:J14"/>
    <mergeCell ref="A15:D15"/>
    <mergeCell ref="I15:J15"/>
    <mergeCell ref="A16:D16"/>
    <mergeCell ref="I16:J16"/>
    <mergeCell ref="A10:D10"/>
    <mergeCell ref="I10:J10"/>
    <mergeCell ref="A11:D11"/>
    <mergeCell ref="I11:J11"/>
    <mergeCell ref="A13:D13"/>
    <mergeCell ref="I13:J13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7373C-73DF-4706-B908-6F698E91B815}">
  <sheetPr codeName="Sheet5">
    <outlinePr summaryBelow="0" summaryRight="0"/>
    <pageSetUpPr autoPageBreaks="0"/>
  </sheetPr>
  <dimension ref="A1:AV100"/>
  <sheetViews>
    <sheetView tabSelected="1" topLeftCell="F1" workbookViewId="0">
      <pane ySplit="2" topLeftCell="A3" activePane="bottomLeft" state="frozenSplit"/>
      <selection pane="bottomLeft" activeCell="X3" sqref="X3:AG3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5.140625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2" hidden="1" customWidth="1"/>
    <col min="16" max="16" width="20.7109375" style="4" hidden="1" customWidth="1"/>
    <col min="17" max="17" width="12.7109375" style="4" hidden="1" customWidth="1"/>
    <col min="18" max="18" width="10.7109375" style="4" hidden="1" customWidth="1"/>
    <col min="19" max="19" width="16.7109375" style="4" hidden="1" customWidth="1"/>
    <col min="20" max="20" width="25.7109375" style="5" hidden="1" customWidth="1"/>
    <col min="21" max="22" width="15.7109375" style="4" hidden="1" customWidth="1"/>
    <col min="23" max="23" width="20.7109375" style="4" hidden="1" customWidth="1"/>
    <col min="24" max="24" width="18.7109375" style="2" customWidth="1"/>
    <col min="25" max="27" width="20.7109375" style="4" customWidth="1"/>
    <col min="28" max="28" width="16.7109375" style="4" customWidth="1"/>
    <col min="29" max="29" width="25.7109375" style="5" customWidth="1"/>
    <col min="30" max="30" width="20.7109375" style="4" customWidth="1"/>
    <col min="31" max="31" width="2.7109375" style="4" customWidth="1"/>
    <col min="32" max="32" width="20.7109375" style="4" customWidth="1"/>
    <col min="33" max="33" width="15.7109375" style="4" customWidth="1"/>
    <col min="34" max="40" width="6.85546875" style="3" customWidth="1"/>
    <col min="41" max="41" width="18.7109375" style="2" hidden="1" customWidth="1"/>
    <col min="42" max="42" width="20.7109375" style="4" hidden="1" customWidth="1"/>
    <col min="43" max="43" width="12.7109375" style="4" hidden="1" customWidth="1"/>
    <col min="44" max="44" width="10.7109375" style="4" hidden="1" customWidth="1"/>
    <col min="45" max="45" width="16.7109375" style="4" hidden="1" customWidth="1"/>
    <col min="46" max="46" width="25.7109375" style="4" hidden="1" customWidth="1"/>
    <col min="47" max="47" width="15.7109375" style="4" hidden="1" customWidth="1"/>
    <col min="48" max="48" width="20.7109375" style="4" hidden="1" customWidth="1"/>
    <col min="49" max="16384" width="6.85546875" style="3" customWidth="1"/>
  </cols>
  <sheetData>
    <row r="1" spans="1:48" s="12" customFormat="1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O1" s="26"/>
      <c r="AP1" s="27"/>
      <c r="AQ1" s="27"/>
      <c r="AR1" s="27"/>
      <c r="AS1" s="27"/>
      <c r="AT1" s="27"/>
      <c r="AU1" s="27"/>
      <c r="AV1" s="27"/>
    </row>
    <row r="2" spans="1:48" s="12" customFormat="1" ht="24" customHeight="1" x14ac:dyDescent="0.2">
      <c r="D2" s="13" t="s">
        <v>0</v>
      </c>
      <c r="E2" s="13"/>
      <c r="F2" s="13"/>
      <c r="G2" s="13"/>
      <c r="H2" s="13"/>
      <c r="I2" s="14" t="s">
        <v>64</v>
      </c>
      <c r="J2" s="14"/>
      <c r="K2" s="14"/>
      <c r="L2" s="14"/>
      <c r="O2" s="53" t="str">
        <f ca="1">"Outbound: "&amp;SUMPRODUCT(SUBTOTAL(103,OFFSET($E$6,ROW($E$6:$E$97)-ROW($E$6),0,1)),--($U$6:$U$97="OK"),--($E$6:$E$97&lt;&gt;""))&amp;"/"&amp;SUMPRODUCT(SUBTOTAL(103,OFFSET($E$6,ROW($E$6:$E$97)-ROW($E$6),0,1)),--($E$6:$E$97&lt;&gt;""))&amp;" • "&amp;TEXT(IFERROR(SUMPRODUCT(SUBTOTAL(103,OFFSET($E$6,ROW($E$6:$E$97)-ROW($E$6),0,1)),--((($V$6:$V$97="On-Time")+($V$6:$V$97="Early"))&gt;0),--($E$6:$E$97&lt;&gt;""))/SUMPRODUCT(SUBTOTAL(103,OFFSET($E$6,ROW($E$6:$E$97)-ROW($E$6),0,1)),--($E$6:$E$97&lt;&gt;"")),0),"0.0%")&amp;" On Time"</f>
        <v>Outbound: 77/87 • 89.7% On Time</v>
      </c>
      <c r="P2" s="53"/>
      <c r="Q2" s="53"/>
      <c r="R2" s="53"/>
      <c r="S2" s="53"/>
      <c r="T2" s="53"/>
      <c r="U2" s="53"/>
      <c r="V2" s="53"/>
      <c r="W2" s="53"/>
      <c r="X2" s="54" t="str">
        <f ca="1">"Inbound: "&amp;SUMPRODUCT(SUBTOTAL(103,OFFSET($E$6,ROW($E$6:$E$97)-ROW($E$6),0,1)),--($AD$6:$AD$97="Received"),--($E$6:$E$97&lt;&gt;""))&amp;"/"&amp;SUMPRODUCT(SUBTOTAL(103,OFFSET($E$6,ROW($E$6:$E$97)-ROW($E$6),0,1)),--($E$6:$E$97&lt;&gt;""))&amp;" • "&amp;TEXT(IFERROR(SUMPRODUCT(SUBTOTAL(103,OFFSET($E$6,ROW($E$6:$E$97)-ROW($E$6),0,1)),--($AD$6:$AD$97="Received"),--($E$6:$E$97&lt;&gt;""))/SUMPRODUCT(SUBTOTAL(103,OFFSET($E$6,ROW($E$6:$E$97)-ROW($E$6),0,1)),--($E$6:$E$97&lt;&gt;"")),0),"0.0%")&amp;" Complete"</f>
        <v>Inbound: 0/87 • 0.0% Complete</v>
      </c>
      <c r="Y2" s="54"/>
      <c r="Z2" s="54"/>
      <c r="AA2" s="54"/>
      <c r="AB2" s="54"/>
      <c r="AC2" s="54"/>
      <c r="AD2" s="54"/>
      <c r="AE2" s="54"/>
      <c r="AF2" s="54"/>
      <c r="AG2" s="54"/>
      <c r="AO2" s="55" t="str">
        <f ca="1">"Staged: "&amp;SUMPRODUCT(SUBTOTAL(103,OFFSET($E$6,ROW($E$6:$E$97)-ROW($E$6),0,1)),--($AU$6:$AU$97="OK"),--($E$6:$E$97&lt;&gt;""))&amp;"/"&amp;SUMPRODUCT(SUBTOTAL(103,OFFSET($E$6,ROW($E$6:$E$97)-ROW($E$6),0,1)),--($E$6:$E$97&lt;&gt;""))&amp;" • "&amp;TEXT(IFERROR(SUMPRODUCT(SUBTOTAL(103,OFFSET($E$6,ROW($E$6:$E$97)-ROW($E$6),0,1)),--($AU$6:$AU$97="OK"),--($E$6:$E$97&lt;&gt;""))/SUMPRODUCT(SUBTOTAL(103,OFFSET($E$6,ROW($E$6:$E$97)-ROW($E$6),0,1)),--($E$6:$E$97&lt;&gt;"")),0),"0.0%")&amp;" Complete"</f>
        <v>Staged: 77/87 • 88.5% Complete</v>
      </c>
      <c r="AP2" s="55"/>
      <c r="AQ2" s="55"/>
      <c r="AR2" s="55"/>
      <c r="AS2" s="55"/>
      <c r="AT2" s="55"/>
      <c r="AU2" s="55"/>
      <c r="AV2" s="55"/>
    </row>
    <row r="3" spans="1:48" ht="85.5" customHeight="1" x14ac:dyDescent="0.2">
      <c r="O3" s="9" t="s">
        <v>39</v>
      </c>
      <c r="P3" s="10"/>
      <c r="Q3" s="10"/>
      <c r="R3" s="10"/>
      <c r="S3" s="10"/>
      <c r="T3" s="10"/>
      <c r="U3" s="10"/>
      <c r="V3" s="10"/>
      <c r="W3" s="10"/>
      <c r="X3" s="9" t="s">
        <v>41</v>
      </c>
      <c r="Y3" s="10"/>
      <c r="Z3" s="10"/>
      <c r="AA3" s="10"/>
      <c r="AB3" s="10"/>
      <c r="AC3" s="10"/>
      <c r="AD3" s="10"/>
      <c r="AE3" s="10"/>
      <c r="AF3" s="10"/>
      <c r="AG3" s="10"/>
      <c r="AO3" s="9" t="s">
        <v>40</v>
      </c>
      <c r="AP3" s="10"/>
      <c r="AQ3" s="10"/>
      <c r="AR3" s="10"/>
      <c r="AS3" s="10"/>
      <c r="AT3" s="10"/>
      <c r="AU3" s="10"/>
      <c r="AV3" s="10"/>
    </row>
    <row r="4" spans="1:48" ht="20.100000000000001" customHeight="1" x14ac:dyDescent="0.2">
      <c r="O4" s="6" t="s">
        <v>9</v>
      </c>
      <c r="P4" s="11"/>
      <c r="X4" s="6" t="s">
        <v>9</v>
      </c>
      <c r="Y4" s="11"/>
      <c r="AO4" s="6" t="s">
        <v>9</v>
      </c>
      <c r="AP4" s="11"/>
      <c r="AT4" s="5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62</v>
      </c>
      <c r="M5" s="18"/>
      <c r="P5" s="7" t="s">
        <v>10</v>
      </c>
      <c r="Q5" s="7" t="s">
        <v>2</v>
      </c>
      <c r="R5" s="7" t="s">
        <v>3</v>
      </c>
      <c r="S5" s="7" t="s">
        <v>11</v>
      </c>
      <c r="T5" s="8" t="s">
        <v>12</v>
      </c>
      <c r="U5" s="7" t="s">
        <v>13</v>
      </c>
      <c r="V5" s="7" t="s">
        <v>14</v>
      </c>
      <c r="W5" s="7" t="s">
        <v>15</v>
      </c>
      <c r="Y5" s="7" t="s">
        <v>16</v>
      </c>
      <c r="Z5" s="7" t="s">
        <v>17</v>
      </c>
      <c r="AA5" s="7" t="s">
        <v>18</v>
      </c>
      <c r="AB5" s="7" t="s">
        <v>19</v>
      </c>
      <c r="AC5" s="8" t="s">
        <v>20</v>
      </c>
      <c r="AD5" s="7" t="s">
        <v>21</v>
      </c>
      <c r="AE5" s="7"/>
      <c r="AF5" s="7" t="s">
        <v>15</v>
      </c>
      <c r="AG5" s="7" t="s">
        <v>22</v>
      </c>
      <c r="AP5" s="7" t="s">
        <v>10</v>
      </c>
      <c r="AQ5" s="7" t="s">
        <v>2</v>
      </c>
      <c r="AR5" s="7" t="s">
        <v>3</v>
      </c>
      <c r="AS5" s="7" t="s">
        <v>11</v>
      </c>
      <c r="AT5" s="7" t="s">
        <v>12</v>
      </c>
      <c r="AU5" s="7" t="s">
        <v>13</v>
      </c>
      <c r="AV5" s="7" t="s">
        <v>15</v>
      </c>
    </row>
    <row r="6" spans="1:48" ht="8.25" customHeight="1" x14ac:dyDescent="0.2"/>
    <row r="7" spans="1:48" ht="13.5" customHeight="1" x14ac:dyDescent="0.2">
      <c r="A7" s="19" t="s">
        <v>65</v>
      </c>
    </row>
    <row r="8" spans="1:48" ht="13.5" customHeight="1" x14ac:dyDescent="0.2">
      <c r="A8" s="20" t="s">
        <v>66</v>
      </c>
      <c r="B8" s="20"/>
      <c r="C8" s="20"/>
      <c r="D8" s="20"/>
      <c r="E8" s="21">
        <v>231414</v>
      </c>
      <c r="F8" s="22">
        <v>1</v>
      </c>
      <c r="G8" s="22">
        <v>1</v>
      </c>
      <c r="H8" s="23" t="s">
        <v>67</v>
      </c>
      <c r="I8" s="20" t="s">
        <v>68</v>
      </c>
      <c r="J8" s="20"/>
    </row>
    <row r="9" spans="1:48" ht="13.5" customHeight="1" x14ac:dyDescent="0.2">
      <c r="A9" s="20" t="s">
        <v>69</v>
      </c>
      <c r="B9" s="20"/>
      <c r="C9" s="20"/>
      <c r="D9" s="20"/>
      <c r="E9" s="21">
        <v>231415</v>
      </c>
      <c r="F9" s="22">
        <v>1</v>
      </c>
      <c r="G9" s="22">
        <v>1</v>
      </c>
      <c r="H9" s="23" t="s">
        <v>70</v>
      </c>
      <c r="I9" s="20" t="s">
        <v>71</v>
      </c>
      <c r="J9" s="20"/>
    </row>
    <row r="10" spans="1:48" ht="13.5" customHeight="1" x14ac:dyDescent="0.2">
      <c r="A10" s="20" t="s">
        <v>72</v>
      </c>
      <c r="B10" s="20"/>
      <c r="C10" s="20"/>
      <c r="D10" s="20"/>
      <c r="E10" s="21">
        <v>231416</v>
      </c>
      <c r="F10" s="22">
        <v>1</v>
      </c>
      <c r="G10" s="22">
        <v>1</v>
      </c>
      <c r="H10" s="23" t="s">
        <v>73</v>
      </c>
      <c r="I10" s="20" t="s">
        <v>71</v>
      </c>
      <c r="J10" s="20"/>
    </row>
    <row r="11" spans="1:48" ht="13.5" customHeight="1" x14ac:dyDescent="0.2">
      <c r="A11" s="20" t="s">
        <v>72</v>
      </c>
      <c r="B11" s="20"/>
      <c r="C11" s="20"/>
      <c r="D11" s="20"/>
      <c r="E11" s="21">
        <v>231416</v>
      </c>
      <c r="F11" s="22">
        <v>3</v>
      </c>
      <c r="G11" s="22">
        <v>1</v>
      </c>
      <c r="H11" s="23" t="s">
        <v>74</v>
      </c>
      <c r="I11" s="20" t="s">
        <v>71</v>
      </c>
      <c r="J11" s="20"/>
    </row>
    <row r="12" spans="1:48" ht="13.5" customHeight="1" x14ac:dyDescent="0.2">
      <c r="A12" s="19" t="s">
        <v>7</v>
      </c>
    </row>
    <row r="13" spans="1:48" ht="13.5" customHeight="1" x14ac:dyDescent="0.2">
      <c r="A13" s="20" t="s">
        <v>75</v>
      </c>
      <c r="B13" s="20"/>
      <c r="C13" s="20"/>
      <c r="D13" s="20"/>
      <c r="E13" s="21">
        <v>231338</v>
      </c>
      <c r="F13" s="22">
        <v>1</v>
      </c>
      <c r="G13" s="22">
        <v>1</v>
      </c>
      <c r="H13" s="23" t="s">
        <v>50</v>
      </c>
      <c r="I13" s="20" t="s">
        <v>27</v>
      </c>
      <c r="J13" s="20"/>
      <c r="P13" s="39" t="s">
        <v>187</v>
      </c>
      <c r="Q13" s="39">
        <v>231338</v>
      </c>
      <c r="R13" s="39">
        <v>1</v>
      </c>
      <c r="S13" s="40">
        <v>1</v>
      </c>
      <c r="T13" s="52">
        <v>46104.334027777775</v>
      </c>
      <c r="U13" s="42" t="s">
        <v>63</v>
      </c>
      <c r="V13" s="42" t="s">
        <v>188</v>
      </c>
      <c r="AP13" s="39" t="s">
        <v>187</v>
      </c>
      <c r="AQ13" s="39">
        <v>231338</v>
      </c>
      <c r="AR13" s="39">
        <v>1</v>
      </c>
      <c r="AS13" s="39">
        <v>1</v>
      </c>
      <c r="AT13" s="41">
        <v>46104.326388888891</v>
      </c>
      <c r="AU13" s="42" t="s">
        <v>63</v>
      </c>
    </row>
    <row r="14" spans="1:48" ht="13.5" customHeight="1" x14ac:dyDescent="0.2">
      <c r="A14" s="20" t="s">
        <v>76</v>
      </c>
      <c r="B14" s="20"/>
      <c r="C14" s="20"/>
      <c r="D14" s="20"/>
      <c r="E14" s="21">
        <v>231343</v>
      </c>
      <c r="F14" s="22">
        <v>1</v>
      </c>
      <c r="G14" s="22">
        <v>1</v>
      </c>
      <c r="H14" s="23" t="s">
        <v>29</v>
      </c>
      <c r="I14" s="20" t="s">
        <v>77</v>
      </c>
      <c r="J14" s="20"/>
      <c r="P14" s="39"/>
      <c r="Q14" s="39"/>
      <c r="R14" s="39"/>
      <c r="S14" s="39"/>
      <c r="T14" s="52"/>
      <c r="U14" s="39"/>
      <c r="V14" s="39"/>
      <c r="AP14" s="39"/>
      <c r="AQ14" s="39"/>
      <c r="AR14" s="39"/>
      <c r="AS14" s="39"/>
      <c r="AT14" s="39"/>
      <c r="AU14" s="39"/>
    </row>
    <row r="15" spans="1:48" ht="13.5" customHeight="1" x14ac:dyDescent="0.2">
      <c r="A15" s="20" t="s">
        <v>78</v>
      </c>
      <c r="B15" s="20"/>
      <c r="C15" s="20"/>
      <c r="D15" s="20"/>
      <c r="E15" s="21">
        <v>231449</v>
      </c>
      <c r="F15" s="22">
        <v>1</v>
      </c>
      <c r="G15" s="22">
        <v>1</v>
      </c>
      <c r="H15" s="23" t="s">
        <v>79</v>
      </c>
      <c r="I15" s="20" t="s">
        <v>54</v>
      </c>
      <c r="J15" s="20"/>
      <c r="P15" s="39" t="s">
        <v>189</v>
      </c>
      <c r="Q15" s="39">
        <v>231449</v>
      </c>
      <c r="R15" s="39">
        <v>1</v>
      </c>
      <c r="S15" s="40">
        <v>1</v>
      </c>
      <c r="T15" s="52">
        <v>46104.574999999997</v>
      </c>
      <c r="U15" s="42" t="s">
        <v>63</v>
      </c>
      <c r="V15" s="42" t="s">
        <v>188</v>
      </c>
      <c r="AP15" s="39" t="s">
        <v>189</v>
      </c>
      <c r="AQ15" s="39">
        <v>231449</v>
      </c>
      <c r="AR15" s="39">
        <v>1</v>
      </c>
      <c r="AS15" s="39">
        <v>1</v>
      </c>
      <c r="AT15" s="41">
        <v>46104.433333333334</v>
      </c>
      <c r="AU15" s="42" t="s">
        <v>63</v>
      </c>
    </row>
    <row r="16" spans="1:48" ht="13.5" customHeight="1" x14ac:dyDescent="0.2">
      <c r="A16" s="20" t="s">
        <v>80</v>
      </c>
      <c r="B16" s="20"/>
      <c r="C16" s="20"/>
      <c r="D16" s="20"/>
      <c r="E16" s="21">
        <v>231450</v>
      </c>
      <c r="F16" s="22">
        <v>1</v>
      </c>
      <c r="G16" s="22">
        <v>1</v>
      </c>
      <c r="H16" s="23" t="s">
        <v>23</v>
      </c>
      <c r="I16" s="20" t="s">
        <v>24</v>
      </c>
      <c r="J16" s="20"/>
      <c r="P16" s="39" t="s">
        <v>190</v>
      </c>
      <c r="Q16" s="39">
        <v>231450</v>
      </c>
      <c r="R16" s="39">
        <v>1</v>
      </c>
      <c r="S16" s="40">
        <v>1</v>
      </c>
      <c r="T16" s="52">
        <v>46104.349305555559</v>
      </c>
      <c r="U16" s="42" t="s">
        <v>63</v>
      </c>
      <c r="V16" s="42" t="s">
        <v>188</v>
      </c>
      <c r="AP16" s="39" t="s">
        <v>190</v>
      </c>
      <c r="AQ16" s="39">
        <v>231450</v>
      </c>
      <c r="AR16" s="39">
        <v>1</v>
      </c>
      <c r="AS16" s="39">
        <v>1</v>
      </c>
      <c r="AT16" s="41">
        <v>46104.335416666669</v>
      </c>
      <c r="AU16" s="42" t="s">
        <v>63</v>
      </c>
    </row>
    <row r="17" spans="1:47" ht="13.5" customHeight="1" x14ac:dyDescent="0.2">
      <c r="A17" s="20" t="s">
        <v>80</v>
      </c>
      <c r="B17" s="20"/>
      <c r="C17" s="20"/>
      <c r="D17" s="20"/>
      <c r="E17" s="21">
        <v>231450</v>
      </c>
      <c r="F17" s="22">
        <v>2</v>
      </c>
      <c r="G17" s="22">
        <v>2</v>
      </c>
      <c r="H17" s="23" t="s">
        <v>25</v>
      </c>
      <c r="I17" s="20" t="s">
        <v>24</v>
      </c>
      <c r="J17" s="20"/>
      <c r="P17" s="39" t="s">
        <v>191</v>
      </c>
      <c r="Q17" s="39">
        <v>231450</v>
      </c>
      <c r="R17" s="39">
        <v>2</v>
      </c>
      <c r="S17" s="40">
        <v>2</v>
      </c>
      <c r="T17" s="52">
        <v>46104.350694444445</v>
      </c>
      <c r="U17" s="42" t="s">
        <v>63</v>
      </c>
      <c r="V17" s="42" t="s">
        <v>188</v>
      </c>
      <c r="AP17" s="39" t="s">
        <v>191</v>
      </c>
      <c r="AQ17" s="39">
        <v>231450</v>
      </c>
      <c r="AR17" s="39">
        <v>2</v>
      </c>
      <c r="AS17" s="39">
        <v>2</v>
      </c>
      <c r="AT17" s="41">
        <v>46104.334027777775</v>
      </c>
      <c r="AU17" s="42" t="s">
        <v>63</v>
      </c>
    </row>
    <row r="18" spans="1:47" ht="13.5" customHeight="1" x14ac:dyDescent="0.2">
      <c r="A18" s="20" t="s">
        <v>81</v>
      </c>
      <c r="B18" s="20"/>
      <c r="C18" s="20"/>
      <c r="D18" s="20"/>
      <c r="E18" s="21">
        <v>231451</v>
      </c>
      <c r="F18" s="22">
        <v>1</v>
      </c>
      <c r="G18" s="22">
        <v>1</v>
      </c>
      <c r="H18" s="23" t="s">
        <v>82</v>
      </c>
      <c r="I18" s="20" t="s">
        <v>83</v>
      </c>
      <c r="J18" s="20"/>
      <c r="P18" s="39" t="s">
        <v>192</v>
      </c>
      <c r="Q18" s="39">
        <v>231451</v>
      </c>
      <c r="R18" s="39">
        <v>1</v>
      </c>
      <c r="S18" s="40">
        <v>1</v>
      </c>
      <c r="T18" s="52">
        <v>46104.392361111109</v>
      </c>
      <c r="U18" s="42" t="s">
        <v>63</v>
      </c>
      <c r="V18" s="42" t="s">
        <v>188</v>
      </c>
      <c r="AP18" s="39" t="s">
        <v>192</v>
      </c>
      <c r="AQ18" s="39">
        <v>231451</v>
      </c>
      <c r="AR18" s="39">
        <v>1</v>
      </c>
      <c r="AS18" s="39">
        <v>1</v>
      </c>
      <c r="AT18" s="41">
        <v>46104.392361111109</v>
      </c>
      <c r="AU18" s="42" t="s">
        <v>63</v>
      </c>
    </row>
    <row r="19" spans="1:47" ht="13.5" customHeight="1" x14ac:dyDescent="0.2">
      <c r="A19" s="20" t="s">
        <v>81</v>
      </c>
      <c r="B19" s="20"/>
      <c r="C19" s="20"/>
      <c r="D19" s="20"/>
      <c r="E19" s="21">
        <v>231451</v>
      </c>
      <c r="F19" s="22">
        <v>2</v>
      </c>
      <c r="G19" s="22">
        <v>1</v>
      </c>
      <c r="H19" s="23" t="s">
        <v>28</v>
      </c>
      <c r="I19" s="20" t="s">
        <v>83</v>
      </c>
      <c r="J19" s="20"/>
      <c r="P19" s="39" t="s">
        <v>193</v>
      </c>
      <c r="Q19" s="39">
        <v>231451</v>
      </c>
      <c r="R19" s="39">
        <v>2</v>
      </c>
      <c r="S19" s="40">
        <v>1</v>
      </c>
      <c r="T19" s="52">
        <v>46104.574999999997</v>
      </c>
      <c r="U19" s="42" t="s">
        <v>63</v>
      </c>
      <c r="V19" s="42" t="s">
        <v>188</v>
      </c>
      <c r="AP19" s="39" t="s">
        <v>193</v>
      </c>
      <c r="AQ19" s="39">
        <v>231451</v>
      </c>
      <c r="AR19" s="39">
        <v>2</v>
      </c>
      <c r="AS19" s="39">
        <v>1</v>
      </c>
      <c r="AT19" s="41">
        <v>46104.434027777781</v>
      </c>
      <c r="AU19" s="42" t="s">
        <v>63</v>
      </c>
    </row>
    <row r="20" spans="1:47" ht="13.5" customHeight="1" x14ac:dyDescent="0.2">
      <c r="A20" s="20" t="s">
        <v>84</v>
      </c>
      <c r="B20" s="20"/>
      <c r="C20" s="20"/>
      <c r="D20" s="20"/>
      <c r="E20" s="21">
        <v>231452</v>
      </c>
      <c r="F20" s="22">
        <v>1</v>
      </c>
      <c r="G20" s="22">
        <v>4</v>
      </c>
      <c r="H20" s="23" t="s">
        <v>23</v>
      </c>
      <c r="I20" s="20" t="s">
        <v>24</v>
      </c>
      <c r="J20" s="20"/>
      <c r="P20" s="39" t="s">
        <v>194</v>
      </c>
      <c r="Q20" s="39">
        <v>231452</v>
      </c>
      <c r="R20" s="39">
        <v>1</v>
      </c>
      <c r="S20" s="40">
        <v>4</v>
      </c>
      <c r="T20" s="52">
        <v>46104.349305555559</v>
      </c>
      <c r="U20" s="42" t="s">
        <v>63</v>
      </c>
      <c r="V20" s="42" t="s">
        <v>188</v>
      </c>
      <c r="AP20" s="39" t="s">
        <v>194</v>
      </c>
      <c r="AQ20" s="39">
        <v>231452</v>
      </c>
      <c r="AR20" s="39">
        <v>1</v>
      </c>
      <c r="AS20" s="39">
        <v>4</v>
      </c>
      <c r="AT20" s="41">
        <v>46104.335416666669</v>
      </c>
      <c r="AU20" s="42" t="s">
        <v>63</v>
      </c>
    </row>
    <row r="21" spans="1:47" ht="13.5" customHeight="1" x14ac:dyDescent="0.2">
      <c r="A21" s="20" t="s">
        <v>84</v>
      </c>
      <c r="B21" s="20"/>
      <c r="C21" s="20"/>
      <c r="D21" s="20"/>
      <c r="E21" s="21">
        <v>231452</v>
      </c>
      <c r="F21" s="22">
        <v>2</v>
      </c>
      <c r="G21" s="22">
        <v>2</v>
      </c>
      <c r="H21" s="23" t="s">
        <v>25</v>
      </c>
      <c r="I21" s="20" t="s">
        <v>24</v>
      </c>
      <c r="J21" s="20"/>
      <c r="P21" s="39" t="s">
        <v>195</v>
      </c>
      <c r="Q21" s="39">
        <v>231452</v>
      </c>
      <c r="R21" s="39">
        <v>2</v>
      </c>
      <c r="S21" s="40">
        <v>2</v>
      </c>
      <c r="T21" s="52">
        <v>46104.352083333331</v>
      </c>
      <c r="U21" s="42" t="s">
        <v>63</v>
      </c>
      <c r="V21" s="42" t="s">
        <v>188</v>
      </c>
      <c r="AP21" s="39" t="s">
        <v>195</v>
      </c>
      <c r="AQ21" s="39">
        <v>231452</v>
      </c>
      <c r="AR21" s="39">
        <v>2</v>
      </c>
      <c r="AS21" s="39">
        <v>2</v>
      </c>
      <c r="AT21" s="41">
        <v>46104.334722222222</v>
      </c>
      <c r="AU21" s="42" t="s">
        <v>63</v>
      </c>
    </row>
    <row r="22" spans="1:47" ht="13.5" customHeight="1" x14ac:dyDescent="0.2">
      <c r="A22" s="20" t="s">
        <v>85</v>
      </c>
      <c r="B22" s="20"/>
      <c r="C22" s="20"/>
      <c r="D22" s="20"/>
      <c r="E22" s="21">
        <v>231453</v>
      </c>
      <c r="F22" s="22">
        <v>1</v>
      </c>
      <c r="G22" s="22">
        <v>4</v>
      </c>
      <c r="H22" s="23" t="s">
        <v>23</v>
      </c>
      <c r="I22" s="20" t="s">
        <v>24</v>
      </c>
      <c r="J22" s="20"/>
      <c r="P22" s="39" t="s">
        <v>196</v>
      </c>
      <c r="Q22" s="39">
        <v>231453</v>
      </c>
      <c r="R22" s="39">
        <v>1</v>
      </c>
      <c r="S22" s="40">
        <v>4</v>
      </c>
      <c r="T22" s="52">
        <v>46104.348611111112</v>
      </c>
      <c r="U22" s="42" t="s">
        <v>63</v>
      </c>
      <c r="V22" s="42" t="s">
        <v>188</v>
      </c>
      <c r="AP22" s="39" t="s">
        <v>196</v>
      </c>
      <c r="AQ22" s="39">
        <v>231453</v>
      </c>
      <c r="AR22" s="39">
        <v>1</v>
      </c>
      <c r="AS22" s="39">
        <v>4</v>
      </c>
      <c r="AT22" s="41">
        <v>46104.335416666669</v>
      </c>
      <c r="AU22" s="42" t="s">
        <v>63</v>
      </c>
    </row>
    <row r="23" spans="1:47" ht="13.5" customHeight="1" x14ac:dyDescent="0.2">
      <c r="A23" s="20" t="s">
        <v>85</v>
      </c>
      <c r="B23" s="20"/>
      <c r="C23" s="20"/>
      <c r="D23" s="20"/>
      <c r="E23" s="21">
        <v>231453</v>
      </c>
      <c r="F23" s="22">
        <v>2</v>
      </c>
      <c r="G23" s="22">
        <v>2</v>
      </c>
      <c r="H23" s="23" t="s">
        <v>25</v>
      </c>
      <c r="I23" s="20" t="s">
        <v>24</v>
      </c>
      <c r="J23" s="20"/>
      <c r="P23" s="39" t="s">
        <v>197</v>
      </c>
      <c r="Q23" s="39">
        <v>231453</v>
      </c>
      <c r="R23" s="39">
        <v>2</v>
      </c>
      <c r="S23" s="40">
        <v>1</v>
      </c>
      <c r="T23" s="52">
        <v>46104.351388888892</v>
      </c>
      <c r="U23" s="43" t="s">
        <v>198</v>
      </c>
      <c r="V23" s="42" t="s">
        <v>188</v>
      </c>
      <c r="AP23" s="39" t="s">
        <v>197</v>
      </c>
      <c r="AQ23" s="39">
        <v>231453</v>
      </c>
      <c r="AR23" s="39">
        <v>2</v>
      </c>
      <c r="AS23" s="39">
        <v>1</v>
      </c>
      <c r="AT23" s="41">
        <v>46104.351388888892</v>
      </c>
      <c r="AU23" s="43" t="s">
        <v>198</v>
      </c>
    </row>
    <row r="24" spans="1:47" ht="13.5" customHeight="1" x14ac:dyDescent="0.2">
      <c r="A24" s="20" t="s">
        <v>86</v>
      </c>
      <c r="B24" s="20"/>
      <c r="C24" s="20"/>
      <c r="D24" s="20"/>
      <c r="E24" s="21">
        <v>231454</v>
      </c>
      <c r="F24" s="22">
        <v>1</v>
      </c>
      <c r="G24" s="22">
        <v>2</v>
      </c>
      <c r="H24" s="23" t="s">
        <v>23</v>
      </c>
      <c r="I24" s="20" t="s">
        <v>24</v>
      </c>
      <c r="J24" s="20"/>
      <c r="P24" s="39" t="s">
        <v>199</v>
      </c>
      <c r="Q24" s="39">
        <v>231454</v>
      </c>
      <c r="R24" s="39">
        <v>1</v>
      </c>
      <c r="S24" s="40">
        <v>2</v>
      </c>
      <c r="T24" s="52">
        <v>46104.348611111112</v>
      </c>
      <c r="U24" s="42" t="s">
        <v>63</v>
      </c>
      <c r="V24" s="42" t="s">
        <v>188</v>
      </c>
      <c r="AP24" s="39" t="s">
        <v>199</v>
      </c>
      <c r="AQ24" s="39">
        <v>231454</v>
      </c>
      <c r="AR24" s="39">
        <v>1</v>
      </c>
      <c r="AS24" s="39">
        <v>2</v>
      </c>
      <c r="AT24" s="41">
        <v>46104.335416666669</v>
      </c>
      <c r="AU24" s="42" t="s">
        <v>63</v>
      </c>
    </row>
    <row r="25" spans="1:47" ht="13.5" customHeight="1" x14ac:dyDescent="0.2">
      <c r="A25" s="20" t="s">
        <v>86</v>
      </c>
      <c r="B25" s="20"/>
      <c r="C25" s="20"/>
      <c r="D25" s="20"/>
      <c r="E25" s="21">
        <v>231454</v>
      </c>
      <c r="F25" s="22">
        <v>2</v>
      </c>
      <c r="G25" s="22">
        <v>4</v>
      </c>
      <c r="H25" s="23" t="s">
        <v>25</v>
      </c>
      <c r="I25" s="20" t="s">
        <v>24</v>
      </c>
      <c r="J25" s="20"/>
      <c r="P25" s="39" t="s">
        <v>200</v>
      </c>
      <c r="Q25" s="39">
        <v>231454</v>
      </c>
      <c r="R25" s="39">
        <v>2</v>
      </c>
      <c r="S25" s="40">
        <v>4</v>
      </c>
      <c r="T25" s="52">
        <v>46104.353472222225</v>
      </c>
      <c r="U25" s="42" t="s">
        <v>63</v>
      </c>
      <c r="V25" s="42" t="s">
        <v>188</v>
      </c>
      <c r="AP25" s="39" t="s">
        <v>200</v>
      </c>
      <c r="AQ25" s="39">
        <v>231454</v>
      </c>
      <c r="AR25" s="39">
        <v>2</v>
      </c>
      <c r="AS25" s="39">
        <v>4</v>
      </c>
      <c r="AT25" s="41">
        <v>46104.336111111108</v>
      </c>
      <c r="AU25" s="42" t="s">
        <v>63</v>
      </c>
    </row>
    <row r="26" spans="1:47" ht="13.5" customHeight="1" x14ac:dyDescent="0.2">
      <c r="A26" s="20" t="s">
        <v>87</v>
      </c>
      <c r="B26" s="20"/>
      <c r="C26" s="20"/>
      <c r="D26" s="20"/>
      <c r="E26" s="21">
        <v>231455</v>
      </c>
      <c r="F26" s="22">
        <v>1</v>
      </c>
      <c r="G26" s="22">
        <v>4</v>
      </c>
      <c r="H26" s="23" t="s">
        <v>25</v>
      </c>
      <c r="I26" s="20" t="s">
        <v>24</v>
      </c>
      <c r="J26" s="20"/>
      <c r="P26" s="39" t="s">
        <v>201</v>
      </c>
      <c r="Q26" s="39">
        <v>231455</v>
      </c>
      <c r="R26" s="39">
        <v>1</v>
      </c>
      <c r="S26" s="40">
        <v>4</v>
      </c>
      <c r="T26" s="52">
        <v>46104.352777777778</v>
      </c>
      <c r="U26" s="42" t="s">
        <v>63</v>
      </c>
      <c r="V26" s="42" t="s">
        <v>188</v>
      </c>
      <c r="AP26" s="39" t="s">
        <v>201</v>
      </c>
      <c r="AQ26" s="39">
        <v>231455</v>
      </c>
      <c r="AR26" s="39">
        <v>1</v>
      </c>
      <c r="AS26" s="39">
        <v>4</v>
      </c>
      <c r="AT26" s="41">
        <v>46104.334722222222</v>
      </c>
      <c r="AU26" s="42" t="s">
        <v>63</v>
      </c>
    </row>
    <row r="27" spans="1:47" ht="13.5" customHeight="1" x14ac:dyDescent="0.2">
      <c r="A27" s="20" t="s">
        <v>88</v>
      </c>
      <c r="B27" s="20"/>
      <c r="C27" s="20"/>
      <c r="D27" s="20"/>
      <c r="E27" s="21">
        <v>231457</v>
      </c>
      <c r="F27" s="22">
        <v>1</v>
      </c>
      <c r="G27" s="22">
        <v>1</v>
      </c>
      <c r="H27" s="23" t="s">
        <v>89</v>
      </c>
      <c r="I27" s="20" t="s">
        <v>26</v>
      </c>
      <c r="J27" s="20"/>
      <c r="P27" s="39" t="s">
        <v>202</v>
      </c>
      <c r="Q27" s="39">
        <v>231457</v>
      </c>
      <c r="R27" s="39">
        <v>1</v>
      </c>
      <c r="S27" s="40">
        <v>1</v>
      </c>
      <c r="T27" s="52">
        <v>46104.38958333333</v>
      </c>
      <c r="U27" s="42" t="s">
        <v>63</v>
      </c>
      <c r="V27" s="42" t="s">
        <v>188</v>
      </c>
      <c r="AP27" s="39" t="s">
        <v>202</v>
      </c>
      <c r="AQ27" s="39">
        <v>231457</v>
      </c>
      <c r="AR27" s="39">
        <v>1</v>
      </c>
      <c r="AS27" s="39">
        <v>1</v>
      </c>
      <c r="AT27" s="41">
        <v>46104.38958333333</v>
      </c>
      <c r="AU27" s="42" t="s">
        <v>63</v>
      </c>
    </row>
    <row r="28" spans="1:47" ht="13.5" customHeight="1" x14ac:dyDescent="0.2">
      <c r="A28" s="20" t="s">
        <v>88</v>
      </c>
      <c r="B28" s="20"/>
      <c r="C28" s="20"/>
      <c r="D28" s="20"/>
      <c r="E28" s="21">
        <v>231457</v>
      </c>
      <c r="F28" s="22">
        <v>2</v>
      </c>
      <c r="G28" s="22">
        <v>1</v>
      </c>
      <c r="H28" s="23" t="s">
        <v>90</v>
      </c>
      <c r="I28" s="20" t="s">
        <v>26</v>
      </c>
      <c r="J28" s="20"/>
      <c r="P28" s="39" t="s">
        <v>203</v>
      </c>
      <c r="Q28" s="39">
        <v>231457</v>
      </c>
      <c r="R28" s="39">
        <v>2</v>
      </c>
      <c r="S28" s="40">
        <v>1</v>
      </c>
      <c r="T28" s="52">
        <v>46104.39166666667</v>
      </c>
      <c r="U28" s="42" t="s">
        <v>63</v>
      </c>
      <c r="V28" s="42" t="s">
        <v>188</v>
      </c>
      <c r="AP28" s="39" t="s">
        <v>203</v>
      </c>
      <c r="AQ28" s="39">
        <v>231457</v>
      </c>
      <c r="AR28" s="39">
        <v>2</v>
      </c>
      <c r="AS28" s="39">
        <v>1</v>
      </c>
      <c r="AT28" s="41">
        <v>46104.39166666667</v>
      </c>
      <c r="AU28" s="42" t="s">
        <v>63</v>
      </c>
    </row>
    <row r="29" spans="1:47" ht="13.5" customHeight="1" x14ac:dyDescent="0.2">
      <c r="A29" s="20" t="s">
        <v>91</v>
      </c>
      <c r="B29" s="20"/>
      <c r="C29" s="20"/>
      <c r="D29" s="20"/>
      <c r="E29" s="21">
        <v>231458</v>
      </c>
      <c r="F29" s="22">
        <v>1</v>
      </c>
      <c r="G29" s="22">
        <v>1</v>
      </c>
      <c r="H29" s="23" t="s">
        <v>53</v>
      </c>
      <c r="I29" s="20" t="s">
        <v>26</v>
      </c>
      <c r="J29" s="20"/>
      <c r="P29" s="39" t="s">
        <v>204</v>
      </c>
      <c r="Q29" s="39">
        <v>231458</v>
      </c>
      <c r="R29" s="39">
        <v>1</v>
      </c>
      <c r="S29" s="40">
        <v>1</v>
      </c>
      <c r="T29" s="52">
        <v>46104.390972222223</v>
      </c>
      <c r="U29" s="42" t="s">
        <v>63</v>
      </c>
      <c r="V29" s="42" t="s">
        <v>188</v>
      </c>
      <c r="AP29" s="39" t="s">
        <v>204</v>
      </c>
      <c r="AQ29" s="39">
        <v>231458</v>
      </c>
      <c r="AR29" s="39">
        <v>1</v>
      </c>
      <c r="AS29" s="39">
        <v>1</v>
      </c>
      <c r="AT29" s="41">
        <v>46104.390972222223</v>
      </c>
      <c r="AU29" s="42" t="s">
        <v>63</v>
      </c>
    </row>
    <row r="30" spans="1:47" ht="13.5" customHeight="1" x14ac:dyDescent="0.2">
      <c r="A30" s="20" t="s">
        <v>91</v>
      </c>
      <c r="B30" s="20"/>
      <c r="C30" s="20"/>
      <c r="D30" s="20"/>
      <c r="E30" s="21">
        <v>231458</v>
      </c>
      <c r="F30" s="22">
        <v>2</v>
      </c>
      <c r="G30" s="22">
        <v>1</v>
      </c>
      <c r="H30" s="23" t="s">
        <v>43</v>
      </c>
      <c r="I30" s="20" t="s">
        <v>26</v>
      </c>
      <c r="J30" s="20"/>
      <c r="P30" s="39" t="s">
        <v>205</v>
      </c>
      <c r="Q30" s="39">
        <v>231458</v>
      </c>
      <c r="R30" s="39">
        <v>2</v>
      </c>
      <c r="S30" s="40">
        <v>1</v>
      </c>
      <c r="T30" s="52">
        <v>46104.39166666667</v>
      </c>
      <c r="U30" s="42" t="s">
        <v>63</v>
      </c>
      <c r="V30" s="42" t="s">
        <v>188</v>
      </c>
      <c r="AP30" s="39" t="s">
        <v>205</v>
      </c>
      <c r="AQ30" s="39">
        <v>231458</v>
      </c>
      <c r="AR30" s="39">
        <v>2</v>
      </c>
      <c r="AS30" s="39">
        <v>1</v>
      </c>
      <c r="AT30" s="41">
        <v>46104.39166666667</v>
      </c>
      <c r="AU30" s="42" t="s">
        <v>63</v>
      </c>
    </row>
    <row r="31" spans="1:47" ht="13.5" customHeight="1" x14ac:dyDescent="0.2">
      <c r="A31" s="20" t="s">
        <v>92</v>
      </c>
      <c r="B31" s="20"/>
      <c r="C31" s="20"/>
      <c r="D31" s="20"/>
      <c r="E31" s="21">
        <v>231459</v>
      </c>
      <c r="F31" s="22">
        <v>1</v>
      </c>
      <c r="G31" s="22">
        <v>2</v>
      </c>
      <c r="H31" s="23" t="s">
        <v>53</v>
      </c>
      <c r="I31" s="20" t="s">
        <v>26</v>
      </c>
      <c r="J31" s="20"/>
      <c r="P31" s="39" t="s">
        <v>206</v>
      </c>
      <c r="Q31" s="39">
        <v>231459</v>
      </c>
      <c r="R31" s="39">
        <v>1</v>
      </c>
      <c r="S31" s="40">
        <v>2</v>
      </c>
      <c r="T31" s="52">
        <v>46104.390277777777</v>
      </c>
      <c r="U31" s="42" t="s">
        <v>63</v>
      </c>
      <c r="V31" s="42" t="s">
        <v>188</v>
      </c>
      <c r="AP31" s="39" t="s">
        <v>206</v>
      </c>
      <c r="AQ31" s="39">
        <v>231459</v>
      </c>
      <c r="AR31" s="39">
        <v>1</v>
      </c>
      <c r="AS31" s="39">
        <v>2</v>
      </c>
      <c r="AT31" s="41">
        <v>46104.390277777777</v>
      </c>
      <c r="AU31" s="42" t="s">
        <v>63</v>
      </c>
    </row>
    <row r="32" spans="1:47" ht="13.5" customHeight="1" x14ac:dyDescent="0.2">
      <c r="A32" s="20" t="s">
        <v>93</v>
      </c>
      <c r="B32" s="20"/>
      <c r="C32" s="20"/>
      <c r="D32" s="20"/>
      <c r="E32" s="21">
        <v>231461</v>
      </c>
      <c r="F32" s="22">
        <v>1</v>
      </c>
      <c r="G32" s="22">
        <v>1</v>
      </c>
      <c r="H32" s="23" t="s">
        <v>94</v>
      </c>
      <c r="I32" s="20" t="s">
        <v>52</v>
      </c>
      <c r="J32" s="20"/>
      <c r="P32" s="39" t="s">
        <v>207</v>
      </c>
      <c r="Q32" s="39">
        <v>231461</v>
      </c>
      <c r="R32" s="39">
        <v>1</v>
      </c>
      <c r="S32" s="40">
        <v>1</v>
      </c>
      <c r="T32" s="52">
        <v>46104.34652777778</v>
      </c>
      <c r="U32" s="42" t="s">
        <v>63</v>
      </c>
      <c r="V32" s="42" t="s">
        <v>188</v>
      </c>
      <c r="AP32" s="39" t="s">
        <v>207</v>
      </c>
      <c r="AQ32" s="39">
        <v>231461</v>
      </c>
      <c r="AR32" s="39">
        <v>1</v>
      </c>
      <c r="AS32" s="39">
        <v>1</v>
      </c>
      <c r="AT32" s="41">
        <v>46104.345833333333</v>
      </c>
      <c r="AU32" s="42" t="s">
        <v>63</v>
      </c>
    </row>
    <row r="33" spans="1:47" ht="13.5" customHeight="1" x14ac:dyDescent="0.2">
      <c r="A33" s="20" t="s">
        <v>93</v>
      </c>
      <c r="B33" s="20"/>
      <c r="C33" s="20"/>
      <c r="D33" s="20"/>
      <c r="E33" s="21">
        <v>231461</v>
      </c>
      <c r="F33" s="22">
        <v>2</v>
      </c>
      <c r="G33" s="22">
        <v>1</v>
      </c>
      <c r="H33" s="23" t="s">
        <v>48</v>
      </c>
      <c r="I33" s="20" t="s">
        <v>52</v>
      </c>
      <c r="J33" s="20"/>
      <c r="P33" s="39" t="s">
        <v>208</v>
      </c>
      <c r="Q33" s="39">
        <v>231461</v>
      </c>
      <c r="R33" s="39">
        <v>2</v>
      </c>
      <c r="S33" s="40">
        <v>1</v>
      </c>
      <c r="T33" s="52">
        <v>46104.388888888891</v>
      </c>
      <c r="U33" s="42" t="s">
        <v>63</v>
      </c>
      <c r="V33" s="42" t="s">
        <v>188</v>
      </c>
      <c r="AP33" s="39" t="s">
        <v>208</v>
      </c>
      <c r="AQ33" s="39">
        <v>231461</v>
      </c>
      <c r="AR33" s="39">
        <v>2</v>
      </c>
      <c r="AS33" s="39">
        <v>1</v>
      </c>
      <c r="AT33" s="41">
        <v>46104.388888888891</v>
      </c>
      <c r="AU33" s="42" t="s">
        <v>63</v>
      </c>
    </row>
    <row r="34" spans="1:47" ht="13.5" customHeight="1" x14ac:dyDescent="0.2">
      <c r="A34" s="20" t="s">
        <v>95</v>
      </c>
      <c r="B34" s="20"/>
      <c r="C34" s="20"/>
      <c r="D34" s="20"/>
      <c r="E34" s="21">
        <v>231462</v>
      </c>
      <c r="F34" s="22">
        <v>1</v>
      </c>
      <c r="G34" s="22">
        <v>1</v>
      </c>
      <c r="H34" s="23" t="s">
        <v>44</v>
      </c>
      <c r="I34" s="20" t="s">
        <v>96</v>
      </c>
      <c r="J34" s="20"/>
      <c r="P34" s="39" t="s">
        <v>209</v>
      </c>
      <c r="Q34" s="39">
        <v>231462</v>
      </c>
      <c r="R34" s="39">
        <v>1</v>
      </c>
      <c r="S34" s="40">
        <v>1</v>
      </c>
      <c r="T34" s="52">
        <v>46104.347222222219</v>
      </c>
      <c r="U34" s="42" t="s">
        <v>63</v>
      </c>
      <c r="V34" s="42" t="s">
        <v>188</v>
      </c>
      <c r="AP34" s="39" t="s">
        <v>209</v>
      </c>
      <c r="AQ34" s="39">
        <v>231462</v>
      </c>
      <c r="AR34" s="39">
        <v>1</v>
      </c>
      <c r="AS34" s="39">
        <v>1</v>
      </c>
      <c r="AT34" s="41">
        <v>46104.345833333333</v>
      </c>
      <c r="AU34" s="42" t="s">
        <v>63</v>
      </c>
    </row>
    <row r="35" spans="1:47" ht="13.5" customHeight="1" x14ac:dyDescent="0.2">
      <c r="A35" s="20" t="s">
        <v>95</v>
      </c>
      <c r="B35" s="20"/>
      <c r="C35" s="20"/>
      <c r="D35" s="20"/>
      <c r="E35" s="21">
        <v>231462</v>
      </c>
      <c r="F35" s="22">
        <v>2</v>
      </c>
      <c r="G35" s="22">
        <v>1</v>
      </c>
      <c r="H35" s="23" t="s">
        <v>51</v>
      </c>
      <c r="I35" s="20" t="s">
        <v>96</v>
      </c>
      <c r="J35" s="20"/>
      <c r="P35" s="39" t="s">
        <v>210</v>
      </c>
      <c r="Q35" s="39">
        <v>231462</v>
      </c>
      <c r="R35" s="39">
        <v>2</v>
      </c>
      <c r="S35" s="40">
        <v>1</v>
      </c>
      <c r="T35" s="52">
        <v>46104.393750000003</v>
      </c>
      <c r="U35" s="42" t="s">
        <v>63</v>
      </c>
      <c r="V35" s="42" t="s">
        <v>188</v>
      </c>
      <c r="AP35" s="39" t="s">
        <v>210</v>
      </c>
      <c r="AQ35" s="39">
        <v>231462</v>
      </c>
      <c r="AR35" s="39">
        <v>2</v>
      </c>
      <c r="AS35" s="39">
        <v>1</v>
      </c>
      <c r="AT35" s="41">
        <v>46104.393750000003</v>
      </c>
      <c r="AU35" s="42" t="s">
        <v>63</v>
      </c>
    </row>
    <row r="36" spans="1:47" ht="13.5" customHeight="1" x14ac:dyDescent="0.2">
      <c r="A36" s="20" t="s">
        <v>95</v>
      </c>
      <c r="B36" s="20"/>
      <c r="C36" s="20"/>
      <c r="D36" s="20"/>
      <c r="E36" s="21">
        <v>231462</v>
      </c>
      <c r="F36" s="22">
        <v>3</v>
      </c>
      <c r="G36" s="22">
        <v>1</v>
      </c>
      <c r="H36" s="23" t="s">
        <v>97</v>
      </c>
      <c r="I36" s="20" t="s">
        <v>96</v>
      </c>
      <c r="J36" s="20"/>
      <c r="P36" s="39" t="s">
        <v>211</v>
      </c>
      <c r="Q36" s="39">
        <v>231462</v>
      </c>
      <c r="R36" s="39">
        <v>3</v>
      </c>
      <c r="S36" s="40">
        <v>1</v>
      </c>
      <c r="T36" s="52">
        <v>46104.393055555556</v>
      </c>
      <c r="U36" s="42" t="s">
        <v>63</v>
      </c>
      <c r="V36" s="42" t="s">
        <v>188</v>
      </c>
      <c r="AP36" s="39" t="s">
        <v>211</v>
      </c>
      <c r="AQ36" s="39">
        <v>231462</v>
      </c>
      <c r="AR36" s="39">
        <v>3</v>
      </c>
      <c r="AS36" s="39">
        <v>1</v>
      </c>
      <c r="AT36" s="41">
        <v>46104.392361111109</v>
      </c>
      <c r="AU36" s="42" t="s">
        <v>63</v>
      </c>
    </row>
    <row r="37" spans="1:47" ht="13.5" customHeight="1" x14ac:dyDescent="0.2">
      <c r="A37" s="20" t="s">
        <v>98</v>
      </c>
      <c r="B37" s="20"/>
      <c r="C37" s="20"/>
      <c r="D37" s="20"/>
      <c r="E37" s="21">
        <v>231463</v>
      </c>
      <c r="F37" s="22">
        <v>1</v>
      </c>
      <c r="G37" s="22">
        <v>1</v>
      </c>
      <c r="H37" s="23" t="s">
        <v>94</v>
      </c>
      <c r="I37" s="20" t="s">
        <v>52</v>
      </c>
      <c r="J37" s="20"/>
      <c r="P37" s="39" t="s">
        <v>212</v>
      </c>
      <c r="Q37" s="39">
        <v>231463</v>
      </c>
      <c r="R37" s="39">
        <v>1</v>
      </c>
      <c r="S37" s="40">
        <v>1</v>
      </c>
      <c r="T37" s="52">
        <v>46104.347222222219</v>
      </c>
      <c r="U37" s="42" t="s">
        <v>63</v>
      </c>
      <c r="V37" s="42" t="s">
        <v>188</v>
      </c>
      <c r="AP37" s="39" t="s">
        <v>212</v>
      </c>
      <c r="AQ37" s="39">
        <v>231463</v>
      </c>
      <c r="AR37" s="39">
        <v>1</v>
      </c>
      <c r="AS37" s="39">
        <v>1</v>
      </c>
      <c r="AT37" s="41">
        <v>46104.345833333333</v>
      </c>
      <c r="AU37" s="42" t="s">
        <v>63</v>
      </c>
    </row>
    <row r="38" spans="1:47" ht="13.5" customHeight="1" x14ac:dyDescent="0.2">
      <c r="A38" s="20" t="s">
        <v>98</v>
      </c>
      <c r="B38" s="20"/>
      <c r="C38" s="20"/>
      <c r="D38" s="20"/>
      <c r="E38" s="21">
        <v>231463</v>
      </c>
      <c r="F38" s="22">
        <v>2</v>
      </c>
      <c r="G38" s="22">
        <v>1</v>
      </c>
      <c r="H38" s="23" t="s">
        <v>97</v>
      </c>
      <c r="I38" s="20" t="s">
        <v>52</v>
      </c>
      <c r="J38" s="20"/>
      <c r="P38" s="39" t="s">
        <v>213</v>
      </c>
      <c r="Q38" s="39">
        <v>231463</v>
      </c>
      <c r="R38" s="39">
        <v>2</v>
      </c>
      <c r="S38" s="40">
        <v>1</v>
      </c>
      <c r="T38" s="52">
        <v>46104.393750000003</v>
      </c>
      <c r="U38" s="42" t="s">
        <v>63</v>
      </c>
      <c r="V38" s="42" t="s">
        <v>188</v>
      </c>
      <c r="AP38" s="39" t="s">
        <v>213</v>
      </c>
      <c r="AQ38" s="39">
        <v>231463</v>
      </c>
      <c r="AR38" s="39">
        <v>2</v>
      </c>
      <c r="AS38" s="39">
        <v>1</v>
      </c>
      <c r="AT38" s="41">
        <v>46104.393055555556</v>
      </c>
      <c r="AU38" s="42" t="s">
        <v>63</v>
      </c>
    </row>
    <row r="39" spans="1:47" ht="13.5" customHeight="1" x14ac:dyDescent="0.2">
      <c r="A39" s="20" t="s">
        <v>99</v>
      </c>
      <c r="B39" s="20"/>
      <c r="C39" s="20"/>
      <c r="D39" s="20"/>
      <c r="E39" s="21">
        <v>231464</v>
      </c>
      <c r="F39" s="22">
        <v>1</v>
      </c>
      <c r="G39" s="22">
        <v>1</v>
      </c>
      <c r="H39" s="23" t="s">
        <v>94</v>
      </c>
      <c r="I39" s="20" t="s">
        <v>45</v>
      </c>
      <c r="J39" s="20"/>
      <c r="P39" s="39" t="s">
        <v>214</v>
      </c>
      <c r="Q39" s="39">
        <v>231464</v>
      </c>
      <c r="R39" s="39">
        <v>1</v>
      </c>
      <c r="S39" s="40">
        <v>1</v>
      </c>
      <c r="T39" s="52">
        <v>46104.34652777778</v>
      </c>
      <c r="U39" s="42" t="s">
        <v>63</v>
      </c>
      <c r="V39" s="42" t="s">
        <v>188</v>
      </c>
      <c r="AP39" s="39" t="s">
        <v>214</v>
      </c>
      <c r="AQ39" s="39">
        <v>231464</v>
      </c>
      <c r="AR39" s="39">
        <v>1</v>
      </c>
      <c r="AS39" s="39">
        <v>1</v>
      </c>
      <c r="AT39" s="41">
        <v>46104.345833333333</v>
      </c>
      <c r="AU39" s="42" t="s">
        <v>63</v>
      </c>
    </row>
    <row r="40" spans="1:47" ht="13.5" customHeight="1" x14ac:dyDescent="0.2">
      <c r="A40" s="20" t="s">
        <v>100</v>
      </c>
      <c r="B40" s="20"/>
      <c r="C40" s="20"/>
      <c r="D40" s="20"/>
      <c r="E40" s="21">
        <v>231465</v>
      </c>
      <c r="F40" s="22">
        <v>1</v>
      </c>
      <c r="G40" s="22">
        <v>4</v>
      </c>
      <c r="H40" s="23" t="s">
        <v>25</v>
      </c>
      <c r="I40" s="20" t="s">
        <v>24</v>
      </c>
      <c r="J40" s="20"/>
      <c r="P40" s="39" t="s">
        <v>215</v>
      </c>
      <c r="Q40" s="39">
        <v>231465</v>
      </c>
      <c r="R40" s="39">
        <v>1</v>
      </c>
      <c r="S40" s="40">
        <v>4</v>
      </c>
      <c r="T40" s="52">
        <v>46104.415277777778</v>
      </c>
      <c r="U40" s="42" t="s">
        <v>63</v>
      </c>
      <c r="V40" s="42" t="s">
        <v>188</v>
      </c>
      <c r="AP40" s="39" t="s">
        <v>215</v>
      </c>
      <c r="AQ40" s="39">
        <v>231465</v>
      </c>
      <c r="AR40" s="39">
        <v>1</v>
      </c>
      <c r="AS40" s="39">
        <v>4</v>
      </c>
      <c r="AT40" s="41">
        <v>46104.334027777775</v>
      </c>
      <c r="AU40" s="42" t="s">
        <v>63</v>
      </c>
    </row>
    <row r="41" spans="1:47" ht="13.5" customHeight="1" x14ac:dyDescent="0.2">
      <c r="A41" s="20" t="s">
        <v>101</v>
      </c>
      <c r="B41" s="20"/>
      <c r="C41" s="20"/>
      <c r="D41" s="20"/>
      <c r="E41" s="21">
        <v>231466</v>
      </c>
      <c r="F41" s="22">
        <v>1</v>
      </c>
      <c r="G41" s="22">
        <v>1</v>
      </c>
      <c r="H41" s="23" t="s">
        <v>102</v>
      </c>
      <c r="I41" s="20" t="s">
        <v>103</v>
      </c>
      <c r="J41" s="20"/>
      <c r="P41" s="39" t="s">
        <v>216</v>
      </c>
      <c r="Q41" s="39">
        <v>231466</v>
      </c>
      <c r="R41" s="39">
        <v>1</v>
      </c>
      <c r="S41" s="40">
        <v>1</v>
      </c>
      <c r="T41" s="52">
        <v>46104.352083333331</v>
      </c>
      <c r="U41" s="42" t="s">
        <v>63</v>
      </c>
      <c r="V41" s="42" t="s">
        <v>188</v>
      </c>
      <c r="AP41" s="39" t="s">
        <v>216</v>
      </c>
      <c r="AQ41" s="39">
        <v>231466</v>
      </c>
      <c r="AR41" s="39">
        <v>1</v>
      </c>
      <c r="AS41" s="39">
        <v>1</v>
      </c>
      <c r="AT41" s="41">
        <v>46104.334722222222</v>
      </c>
      <c r="AU41" s="42" t="s">
        <v>63</v>
      </c>
    </row>
    <row r="42" spans="1:47" ht="13.5" customHeight="1" x14ac:dyDescent="0.2">
      <c r="A42" s="20" t="s">
        <v>101</v>
      </c>
      <c r="B42" s="20"/>
      <c r="C42" s="20"/>
      <c r="D42" s="20"/>
      <c r="E42" s="21">
        <v>231466</v>
      </c>
      <c r="F42" s="22">
        <v>2</v>
      </c>
      <c r="G42" s="22">
        <v>1</v>
      </c>
      <c r="H42" s="23" t="s">
        <v>104</v>
      </c>
      <c r="I42" s="20" t="s">
        <v>103</v>
      </c>
      <c r="J42" s="20"/>
      <c r="P42" s="39" t="s">
        <v>217</v>
      </c>
      <c r="Q42" s="39">
        <v>231466</v>
      </c>
      <c r="R42" s="39">
        <v>2</v>
      </c>
      <c r="S42" s="40">
        <v>1</v>
      </c>
      <c r="T42" s="52">
        <v>46104.393055555556</v>
      </c>
      <c r="U42" s="42" t="s">
        <v>63</v>
      </c>
      <c r="V42" s="42" t="s">
        <v>188</v>
      </c>
      <c r="AP42" s="39" t="s">
        <v>217</v>
      </c>
      <c r="AQ42" s="39">
        <v>231466</v>
      </c>
      <c r="AR42" s="39">
        <v>2</v>
      </c>
      <c r="AS42" s="39">
        <v>1</v>
      </c>
      <c r="AT42" s="41">
        <v>46104.393055555556</v>
      </c>
      <c r="AU42" s="42" t="s">
        <v>63</v>
      </c>
    </row>
    <row r="43" spans="1:47" ht="13.5" customHeight="1" x14ac:dyDescent="0.2">
      <c r="A43" s="20" t="s">
        <v>101</v>
      </c>
      <c r="B43" s="20"/>
      <c r="C43" s="20"/>
      <c r="D43" s="20"/>
      <c r="E43" s="21">
        <v>231466</v>
      </c>
      <c r="F43" s="22">
        <v>3</v>
      </c>
      <c r="G43" s="22">
        <v>1</v>
      </c>
      <c r="H43" s="23" t="s">
        <v>105</v>
      </c>
      <c r="I43" s="20" t="s">
        <v>103</v>
      </c>
      <c r="J43" s="20"/>
      <c r="P43" s="39" t="s">
        <v>218</v>
      </c>
      <c r="Q43" s="39">
        <v>231466</v>
      </c>
      <c r="R43" s="39">
        <v>3</v>
      </c>
      <c r="S43" s="40">
        <v>1</v>
      </c>
      <c r="T43" s="52">
        <v>46104.413194444445</v>
      </c>
      <c r="U43" s="42" t="s">
        <v>63</v>
      </c>
      <c r="V43" s="42" t="s">
        <v>188</v>
      </c>
      <c r="AP43" s="39" t="s">
        <v>218</v>
      </c>
      <c r="AQ43" s="39">
        <v>231466</v>
      </c>
      <c r="AR43" s="39">
        <v>3</v>
      </c>
      <c r="AS43" s="39">
        <v>1</v>
      </c>
      <c r="AT43" s="41">
        <v>46104.413194444445</v>
      </c>
      <c r="AU43" s="42" t="s">
        <v>63</v>
      </c>
    </row>
    <row r="44" spans="1:47" ht="13.5" customHeight="1" x14ac:dyDescent="0.2">
      <c r="A44" s="20" t="s">
        <v>106</v>
      </c>
      <c r="B44" s="20"/>
      <c r="C44" s="20"/>
      <c r="D44" s="20"/>
      <c r="E44" s="21">
        <v>231467</v>
      </c>
      <c r="F44" s="22">
        <v>1</v>
      </c>
      <c r="G44" s="22">
        <v>1</v>
      </c>
      <c r="H44" s="23" t="s">
        <v>102</v>
      </c>
      <c r="I44" s="20" t="s">
        <v>103</v>
      </c>
      <c r="J44" s="20"/>
      <c r="P44" s="39" t="s">
        <v>219</v>
      </c>
      <c r="Q44" s="39">
        <v>231467</v>
      </c>
      <c r="R44" s="39">
        <v>1</v>
      </c>
      <c r="S44" s="40">
        <v>1</v>
      </c>
      <c r="T44" s="52">
        <v>46104.352083333331</v>
      </c>
      <c r="U44" s="42" t="s">
        <v>63</v>
      </c>
      <c r="V44" s="42" t="s">
        <v>188</v>
      </c>
      <c r="AP44" s="39" t="s">
        <v>219</v>
      </c>
      <c r="AQ44" s="39">
        <v>231467</v>
      </c>
      <c r="AR44" s="39">
        <v>1</v>
      </c>
      <c r="AS44" s="39">
        <v>1</v>
      </c>
      <c r="AT44" s="41">
        <v>46104.334722222222</v>
      </c>
      <c r="AU44" s="42" t="s">
        <v>63</v>
      </c>
    </row>
    <row r="45" spans="1:47" ht="13.5" customHeight="1" x14ac:dyDescent="0.2">
      <c r="A45" s="20" t="s">
        <v>106</v>
      </c>
      <c r="B45" s="20"/>
      <c r="C45" s="20"/>
      <c r="D45" s="20"/>
      <c r="E45" s="21">
        <v>231467</v>
      </c>
      <c r="F45" s="22">
        <v>2</v>
      </c>
      <c r="G45" s="22">
        <v>1</v>
      </c>
      <c r="H45" s="23" t="s">
        <v>104</v>
      </c>
      <c r="I45" s="20" t="s">
        <v>103</v>
      </c>
      <c r="J45" s="20"/>
      <c r="P45" s="39" t="s">
        <v>220</v>
      </c>
      <c r="Q45" s="39">
        <v>231467</v>
      </c>
      <c r="R45" s="39">
        <v>2</v>
      </c>
      <c r="S45" s="40">
        <v>1</v>
      </c>
      <c r="T45" s="52">
        <v>46104.393750000003</v>
      </c>
      <c r="U45" s="42" t="s">
        <v>63</v>
      </c>
      <c r="V45" s="42" t="s">
        <v>188</v>
      </c>
      <c r="AP45" s="39" t="s">
        <v>220</v>
      </c>
      <c r="AQ45" s="39">
        <v>231467</v>
      </c>
      <c r="AR45" s="39">
        <v>2</v>
      </c>
      <c r="AS45" s="39">
        <v>1</v>
      </c>
      <c r="AT45" s="41">
        <v>46104.393750000003</v>
      </c>
      <c r="AU45" s="42" t="s">
        <v>63</v>
      </c>
    </row>
    <row r="46" spans="1:47" ht="13.5" customHeight="1" x14ac:dyDescent="0.2">
      <c r="A46" s="20" t="s">
        <v>106</v>
      </c>
      <c r="B46" s="20"/>
      <c r="C46" s="20"/>
      <c r="D46" s="20"/>
      <c r="E46" s="21">
        <v>231467</v>
      </c>
      <c r="F46" s="22">
        <v>3</v>
      </c>
      <c r="G46" s="22">
        <v>1</v>
      </c>
      <c r="H46" s="23" t="s">
        <v>107</v>
      </c>
      <c r="I46" s="20" t="s">
        <v>103</v>
      </c>
      <c r="J46" s="20"/>
      <c r="P46" s="39" t="s">
        <v>221</v>
      </c>
      <c r="Q46" s="39">
        <v>231467</v>
      </c>
      <c r="R46" s="39">
        <v>3</v>
      </c>
      <c r="S46" s="40">
        <v>1</v>
      </c>
      <c r="T46" s="52">
        <v>46104.413194444445</v>
      </c>
      <c r="U46" s="42" t="s">
        <v>63</v>
      </c>
      <c r="V46" s="42" t="s">
        <v>188</v>
      </c>
      <c r="AP46" s="39" t="s">
        <v>221</v>
      </c>
      <c r="AQ46" s="39">
        <v>231467</v>
      </c>
      <c r="AR46" s="39">
        <v>3</v>
      </c>
      <c r="AS46" s="39">
        <v>1</v>
      </c>
      <c r="AT46" s="41">
        <v>46104.413194444445</v>
      </c>
      <c r="AU46" s="42" t="s">
        <v>63</v>
      </c>
    </row>
    <row r="47" spans="1:47" ht="13.5" customHeight="1" x14ac:dyDescent="0.2">
      <c r="A47" s="20" t="s">
        <v>108</v>
      </c>
      <c r="B47" s="20"/>
      <c r="C47" s="20"/>
      <c r="D47" s="20"/>
      <c r="E47" s="21">
        <v>231468</v>
      </c>
      <c r="F47" s="22">
        <v>1</v>
      </c>
      <c r="G47" s="22">
        <v>1</v>
      </c>
      <c r="H47" s="23" t="s">
        <v>28</v>
      </c>
      <c r="I47" s="20" t="s">
        <v>45</v>
      </c>
      <c r="J47" s="20"/>
      <c r="P47" s="39" t="s">
        <v>222</v>
      </c>
      <c r="Q47" s="39">
        <v>231468</v>
      </c>
      <c r="R47" s="39">
        <v>1</v>
      </c>
      <c r="S47" s="40">
        <v>1</v>
      </c>
      <c r="T47" s="52">
        <v>46104.574305555558</v>
      </c>
      <c r="U47" s="42" t="s">
        <v>63</v>
      </c>
      <c r="V47" s="42" t="s">
        <v>188</v>
      </c>
      <c r="AP47" s="39" t="s">
        <v>222</v>
      </c>
      <c r="AQ47" s="39">
        <v>231468</v>
      </c>
      <c r="AR47" s="39">
        <v>1</v>
      </c>
      <c r="AS47" s="39">
        <v>1</v>
      </c>
      <c r="AT47" s="41">
        <v>46104.434027777781</v>
      </c>
      <c r="AU47" s="42" t="s">
        <v>63</v>
      </c>
    </row>
    <row r="48" spans="1:47" ht="13.5" customHeight="1" x14ac:dyDescent="0.2">
      <c r="A48" s="20" t="s">
        <v>109</v>
      </c>
      <c r="B48" s="20"/>
      <c r="C48" s="20"/>
      <c r="D48" s="20"/>
      <c r="E48" s="21">
        <v>231469</v>
      </c>
      <c r="F48" s="22">
        <v>1</v>
      </c>
      <c r="G48" s="22">
        <v>1</v>
      </c>
      <c r="H48" s="23" t="s">
        <v>25</v>
      </c>
      <c r="I48" s="20" t="s">
        <v>24</v>
      </c>
      <c r="J48" s="20"/>
      <c r="P48" s="39" t="s">
        <v>223</v>
      </c>
      <c r="Q48" s="39">
        <v>231469</v>
      </c>
      <c r="R48" s="39">
        <v>1</v>
      </c>
      <c r="S48" s="40">
        <v>1</v>
      </c>
      <c r="T48" s="52">
        <v>46104.415277777778</v>
      </c>
      <c r="U48" s="42" t="s">
        <v>63</v>
      </c>
      <c r="V48" s="42" t="s">
        <v>188</v>
      </c>
      <c r="AP48" s="39" t="s">
        <v>223</v>
      </c>
      <c r="AQ48" s="39">
        <v>231469</v>
      </c>
      <c r="AR48" s="39">
        <v>1</v>
      </c>
      <c r="AS48" s="39">
        <v>1</v>
      </c>
      <c r="AT48" s="41">
        <v>46104.336111111108</v>
      </c>
      <c r="AU48" s="42" t="s">
        <v>63</v>
      </c>
    </row>
    <row r="49" spans="1:47" ht="13.5" customHeight="1" x14ac:dyDescent="0.2">
      <c r="A49" s="20" t="s">
        <v>110</v>
      </c>
      <c r="B49" s="20"/>
      <c r="C49" s="20"/>
      <c r="D49" s="20"/>
      <c r="E49" s="21">
        <v>231470</v>
      </c>
      <c r="F49" s="22">
        <v>1</v>
      </c>
      <c r="G49" s="22">
        <v>1</v>
      </c>
      <c r="H49" s="23" t="s">
        <v>111</v>
      </c>
      <c r="I49" s="20" t="s">
        <v>112</v>
      </c>
      <c r="J49" s="20"/>
      <c r="P49" s="39" t="s">
        <v>224</v>
      </c>
      <c r="Q49" s="39">
        <v>231470</v>
      </c>
      <c r="R49" s="39">
        <v>1</v>
      </c>
      <c r="S49" s="40">
        <v>1</v>
      </c>
      <c r="T49" s="52">
        <v>46104.390972222223</v>
      </c>
      <c r="U49" s="42" t="s">
        <v>63</v>
      </c>
      <c r="V49" s="42" t="s">
        <v>188</v>
      </c>
      <c r="AP49" s="39" t="s">
        <v>224</v>
      </c>
      <c r="AQ49" s="39">
        <v>231470</v>
      </c>
      <c r="AR49" s="39">
        <v>1</v>
      </c>
      <c r="AS49" s="39">
        <v>1</v>
      </c>
      <c r="AT49" s="41">
        <v>46104.390277777777</v>
      </c>
      <c r="AU49" s="42" t="s">
        <v>63</v>
      </c>
    </row>
    <row r="50" spans="1:47" ht="13.5" customHeight="1" x14ac:dyDescent="0.2">
      <c r="A50" s="20" t="s">
        <v>113</v>
      </c>
      <c r="B50" s="20"/>
      <c r="C50" s="20"/>
      <c r="D50" s="20"/>
      <c r="E50" s="21">
        <v>231471</v>
      </c>
      <c r="F50" s="22">
        <v>1</v>
      </c>
      <c r="G50" s="22">
        <v>1</v>
      </c>
      <c r="H50" s="23" t="s">
        <v>114</v>
      </c>
      <c r="I50" s="20" t="s">
        <v>45</v>
      </c>
      <c r="J50" s="20"/>
      <c r="P50" s="39" t="s">
        <v>225</v>
      </c>
      <c r="Q50" s="39">
        <v>231471</v>
      </c>
      <c r="R50" s="39">
        <v>1</v>
      </c>
      <c r="S50" s="40">
        <v>1</v>
      </c>
      <c r="T50" s="52">
        <v>46104.572916666664</v>
      </c>
      <c r="U50" s="42" t="s">
        <v>63</v>
      </c>
      <c r="V50" s="42" t="s">
        <v>188</v>
      </c>
      <c r="AP50" s="39" t="s">
        <v>225</v>
      </c>
      <c r="AQ50" s="39">
        <v>231471</v>
      </c>
      <c r="AR50" s="39">
        <v>1</v>
      </c>
      <c r="AS50" s="39">
        <v>1</v>
      </c>
      <c r="AT50" s="41">
        <v>46104.434027777781</v>
      </c>
      <c r="AU50" s="42" t="s">
        <v>63</v>
      </c>
    </row>
    <row r="51" spans="1:47" ht="13.5" customHeight="1" x14ac:dyDescent="0.2">
      <c r="A51" s="20" t="s">
        <v>115</v>
      </c>
      <c r="B51" s="20"/>
      <c r="C51" s="20"/>
      <c r="D51" s="20"/>
      <c r="E51" s="21">
        <v>231476</v>
      </c>
      <c r="F51" s="22">
        <v>1</v>
      </c>
      <c r="G51" s="22">
        <v>1</v>
      </c>
      <c r="H51" s="23" t="s">
        <v>23</v>
      </c>
      <c r="I51" s="20" t="s">
        <v>24</v>
      </c>
      <c r="J51" s="20"/>
      <c r="P51" s="39" t="s">
        <v>226</v>
      </c>
      <c r="Q51" s="39">
        <v>231476</v>
      </c>
      <c r="R51" s="39">
        <v>1</v>
      </c>
      <c r="S51" s="40">
        <v>1</v>
      </c>
      <c r="T51" s="52">
        <v>46104.349305555559</v>
      </c>
      <c r="U51" s="42" t="s">
        <v>63</v>
      </c>
      <c r="V51" s="42" t="s">
        <v>188</v>
      </c>
      <c r="AP51" s="39" t="s">
        <v>226</v>
      </c>
      <c r="AQ51" s="39">
        <v>231476</v>
      </c>
      <c r="AR51" s="39">
        <v>1</v>
      </c>
      <c r="AS51" s="39">
        <v>1</v>
      </c>
      <c r="AT51" s="41">
        <v>46104.335416666669</v>
      </c>
      <c r="AU51" s="42" t="s">
        <v>63</v>
      </c>
    </row>
    <row r="52" spans="1:47" ht="13.5" customHeight="1" x14ac:dyDescent="0.2">
      <c r="A52" s="20" t="s">
        <v>115</v>
      </c>
      <c r="B52" s="20"/>
      <c r="C52" s="20"/>
      <c r="D52" s="20"/>
      <c r="E52" s="21">
        <v>231476</v>
      </c>
      <c r="F52" s="22">
        <v>2</v>
      </c>
      <c r="G52" s="22">
        <v>4</v>
      </c>
      <c r="H52" s="23" t="s">
        <v>25</v>
      </c>
      <c r="I52" s="20" t="s">
        <v>24</v>
      </c>
      <c r="J52" s="20"/>
      <c r="P52" s="39" t="s">
        <v>227</v>
      </c>
      <c r="Q52" s="39">
        <v>231476</v>
      </c>
      <c r="R52" s="39">
        <v>2</v>
      </c>
      <c r="S52" s="40">
        <v>4</v>
      </c>
      <c r="T52" s="52">
        <v>46104.414583333331</v>
      </c>
      <c r="U52" s="42" t="s">
        <v>63</v>
      </c>
      <c r="V52" s="42" t="s">
        <v>188</v>
      </c>
      <c r="AP52" s="39" t="s">
        <v>227</v>
      </c>
      <c r="AQ52" s="39">
        <v>231476</v>
      </c>
      <c r="AR52" s="39">
        <v>2</v>
      </c>
      <c r="AS52" s="39">
        <v>4</v>
      </c>
      <c r="AT52" s="41">
        <v>46104.335416666669</v>
      </c>
      <c r="AU52" s="42" t="s">
        <v>63</v>
      </c>
    </row>
    <row r="53" spans="1:47" ht="13.5" customHeight="1" x14ac:dyDescent="0.2">
      <c r="A53" s="20" t="s">
        <v>116</v>
      </c>
      <c r="B53" s="20"/>
      <c r="C53" s="20"/>
      <c r="D53" s="20"/>
      <c r="E53" s="21">
        <v>231477</v>
      </c>
      <c r="F53" s="22">
        <v>1</v>
      </c>
      <c r="G53" s="22">
        <v>3</v>
      </c>
      <c r="H53" s="23" t="s">
        <v>25</v>
      </c>
      <c r="I53" s="20" t="s">
        <v>24</v>
      </c>
      <c r="J53" s="20"/>
      <c r="P53" s="39" t="s">
        <v>228</v>
      </c>
      <c r="Q53" s="39">
        <v>231477</v>
      </c>
      <c r="R53" s="39">
        <v>1</v>
      </c>
      <c r="S53" s="40">
        <v>3</v>
      </c>
      <c r="T53" s="52">
        <v>46104.415277777778</v>
      </c>
      <c r="U53" s="42" t="s">
        <v>63</v>
      </c>
      <c r="V53" s="42" t="s">
        <v>188</v>
      </c>
      <c r="AP53" s="39" t="s">
        <v>228</v>
      </c>
      <c r="AQ53" s="39">
        <v>231477</v>
      </c>
      <c r="AR53" s="39">
        <v>1</v>
      </c>
      <c r="AS53" s="39">
        <v>3</v>
      </c>
      <c r="AT53" s="41">
        <v>46104.336111111108</v>
      </c>
      <c r="AU53" s="42" t="s">
        <v>63</v>
      </c>
    </row>
    <row r="54" spans="1:47" ht="13.5" customHeight="1" x14ac:dyDescent="0.2">
      <c r="A54" s="20" t="s">
        <v>117</v>
      </c>
      <c r="B54" s="20"/>
      <c r="C54" s="20"/>
      <c r="D54" s="20"/>
      <c r="E54" s="21">
        <v>231478</v>
      </c>
      <c r="F54" s="22">
        <v>1</v>
      </c>
      <c r="G54" s="22">
        <v>1</v>
      </c>
      <c r="H54" s="23" t="s">
        <v>118</v>
      </c>
      <c r="I54" s="20" t="s">
        <v>119</v>
      </c>
      <c r="J54" s="20"/>
      <c r="P54" s="39" t="s">
        <v>229</v>
      </c>
      <c r="Q54" s="39">
        <v>231478</v>
      </c>
      <c r="R54" s="39">
        <v>1</v>
      </c>
      <c r="S54" s="40">
        <v>1</v>
      </c>
      <c r="T54" s="52">
        <v>46104.349305555559</v>
      </c>
      <c r="U54" s="42" t="s">
        <v>63</v>
      </c>
      <c r="V54" s="42" t="s">
        <v>188</v>
      </c>
      <c r="AP54" s="39" t="s">
        <v>229</v>
      </c>
      <c r="AQ54" s="39">
        <v>231478</v>
      </c>
      <c r="AR54" s="39">
        <v>1</v>
      </c>
      <c r="AS54" s="39">
        <v>1</v>
      </c>
      <c r="AT54" s="41">
        <v>46104.335416666669</v>
      </c>
      <c r="AU54" s="42" t="s">
        <v>63</v>
      </c>
    </row>
    <row r="55" spans="1:47" ht="13.5" customHeight="1" x14ac:dyDescent="0.2">
      <c r="A55" s="20" t="s">
        <v>117</v>
      </c>
      <c r="B55" s="20"/>
      <c r="C55" s="20"/>
      <c r="D55" s="20"/>
      <c r="E55" s="21">
        <v>231478</v>
      </c>
      <c r="F55" s="22">
        <v>2</v>
      </c>
      <c r="G55" s="22">
        <v>1</v>
      </c>
      <c r="H55" s="23" t="s">
        <v>120</v>
      </c>
      <c r="I55" s="20" t="s">
        <v>119</v>
      </c>
      <c r="J55" s="20"/>
      <c r="P55" s="39" t="s">
        <v>230</v>
      </c>
      <c r="Q55" s="39">
        <v>231478</v>
      </c>
      <c r="R55" s="39">
        <v>2</v>
      </c>
      <c r="S55" s="40">
        <v>1</v>
      </c>
      <c r="T55" s="52">
        <v>46104.326388888891</v>
      </c>
      <c r="U55" s="42" t="s">
        <v>63</v>
      </c>
      <c r="V55" s="42" t="s">
        <v>188</v>
      </c>
      <c r="AP55" s="39" t="s">
        <v>230</v>
      </c>
      <c r="AQ55" s="39">
        <v>231478</v>
      </c>
      <c r="AR55" s="39">
        <v>2</v>
      </c>
      <c r="AS55" s="39">
        <v>1</v>
      </c>
      <c r="AT55" s="41">
        <v>46104.325694444444</v>
      </c>
      <c r="AU55" s="42" t="s">
        <v>63</v>
      </c>
    </row>
    <row r="56" spans="1:47" ht="13.5" customHeight="1" x14ac:dyDescent="0.2">
      <c r="A56" s="20" t="s">
        <v>121</v>
      </c>
      <c r="B56" s="20"/>
      <c r="C56" s="20"/>
      <c r="D56" s="20"/>
      <c r="E56" s="21">
        <v>231479</v>
      </c>
      <c r="F56" s="22">
        <v>1</v>
      </c>
      <c r="G56" s="22">
        <v>1</v>
      </c>
      <c r="H56" s="23" t="s">
        <v>122</v>
      </c>
      <c r="I56" s="20" t="s">
        <v>119</v>
      </c>
      <c r="J56" s="20"/>
      <c r="P56" s="39" t="s">
        <v>231</v>
      </c>
      <c r="Q56" s="39">
        <v>231479</v>
      </c>
      <c r="R56" s="39">
        <v>1</v>
      </c>
      <c r="S56" s="40">
        <v>1</v>
      </c>
      <c r="T56" s="52">
        <v>46104.379166666666</v>
      </c>
      <c r="U56" s="42" t="s">
        <v>63</v>
      </c>
      <c r="V56" s="42" t="s">
        <v>188</v>
      </c>
      <c r="AP56" s="39" t="s">
        <v>231</v>
      </c>
      <c r="AQ56" s="39">
        <v>231479</v>
      </c>
      <c r="AR56" s="39">
        <v>1</v>
      </c>
      <c r="AS56" s="39">
        <v>1</v>
      </c>
      <c r="AT56" s="41">
        <v>46104.373611111114</v>
      </c>
      <c r="AU56" s="42" t="s">
        <v>63</v>
      </c>
    </row>
    <row r="57" spans="1:47" ht="13.5" customHeight="1" x14ac:dyDescent="0.2">
      <c r="A57" s="20" t="s">
        <v>121</v>
      </c>
      <c r="B57" s="20"/>
      <c r="C57" s="20"/>
      <c r="D57" s="20"/>
      <c r="E57" s="21">
        <v>231479</v>
      </c>
      <c r="F57" s="22">
        <v>2</v>
      </c>
      <c r="G57" s="22">
        <v>2</v>
      </c>
      <c r="H57" s="23" t="s">
        <v>123</v>
      </c>
      <c r="I57" s="20" t="s">
        <v>119</v>
      </c>
      <c r="J57" s="20"/>
      <c r="P57" s="39" t="s">
        <v>232</v>
      </c>
      <c r="Q57" s="39">
        <v>231479</v>
      </c>
      <c r="R57" s="39">
        <v>2</v>
      </c>
      <c r="S57" s="40">
        <v>2</v>
      </c>
      <c r="T57" s="52">
        <v>46104.413888888892</v>
      </c>
      <c r="U57" s="42" t="s">
        <v>63</v>
      </c>
      <c r="V57" s="42" t="s">
        <v>188</v>
      </c>
      <c r="AP57" s="39" t="s">
        <v>232</v>
      </c>
      <c r="AQ57" s="39">
        <v>231479</v>
      </c>
      <c r="AR57" s="39">
        <v>2</v>
      </c>
      <c r="AS57" s="39">
        <v>2</v>
      </c>
      <c r="AT57" s="41">
        <v>46104.413888888892</v>
      </c>
      <c r="AU57" s="42" t="s">
        <v>63</v>
      </c>
    </row>
    <row r="58" spans="1:47" ht="13.5" customHeight="1" x14ac:dyDescent="0.2">
      <c r="A58" s="20" t="s">
        <v>121</v>
      </c>
      <c r="B58" s="20"/>
      <c r="C58" s="20"/>
      <c r="D58" s="20"/>
      <c r="E58" s="21">
        <v>231479</v>
      </c>
      <c r="F58" s="22">
        <v>3</v>
      </c>
      <c r="G58" s="22">
        <v>1</v>
      </c>
      <c r="H58" s="23" t="s">
        <v>124</v>
      </c>
      <c r="I58" s="20" t="s">
        <v>119</v>
      </c>
      <c r="J58" s="20"/>
      <c r="P58" s="39" t="s">
        <v>233</v>
      </c>
      <c r="Q58" s="39">
        <v>231479</v>
      </c>
      <c r="R58" s="39">
        <v>3</v>
      </c>
      <c r="S58" s="40">
        <v>1</v>
      </c>
      <c r="T58" s="52">
        <v>46104.349305555559</v>
      </c>
      <c r="U58" s="42" t="s">
        <v>63</v>
      </c>
      <c r="V58" s="42" t="s">
        <v>188</v>
      </c>
      <c r="AP58" s="39" t="s">
        <v>233</v>
      </c>
      <c r="AQ58" s="39">
        <v>231479</v>
      </c>
      <c r="AR58" s="39">
        <v>3</v>
      </c>
      <c r="AS58" s="39">
        <v>1</v>
      </c>
      <c r="AT58" s="41">
        <v>46104.335416666669</v>
      </c>
      <c r="AU58" s="42" t="s">
        <v>63</v>
      </c>
    </row>
    <row r="59" spans="1:47" ht="13.5" customHeight="1" x14ac:dyDescent="0.2">
      <c r="A59" s="20" t="s">
        <v>125</v>
      </c>
      <c r="B59" s="20"/>
      <c r="C59" s="20"/>
      <c r="D59" s="20"/>
      <c r="E59" s="21">
        <v>231480</v>
      </c>
      <c r="F59" s="22">
        <v>1</v>
      </c>
      <c r="G59" s="22">
        <v>1</v>
      </c>
      <c r="H59" s="23" t="s">
        <v>23</v>
      </c>
      <c r="I59" s="20" t="s">
        <v>119</v>
      </c>
      <c r="J59" s="20"/>
      <c r="P59" s="39" t="s">
        <v>234</v>
      </c>
      <c r="Q59" s="39">
        <v>231480</v>
      </c>
      <c r="R59" s="39">
        <v>1</v>
      </c>
      <c r="S59" s="40">
        <v>1</v>
      </c>
      <c r="T59" s="52">
        <v>46104.347222222219</v>
      </c>
      <c r="U59" s="42" t="s">
        <v>63</v>
      </c>
      <c r="V59" s="42" t="s">
        <v>188</v>
      </c>
      <c r="AP59" s="39" t="s">
        <v>234</v>
      </c>
      <c r="AQ59" s="39">
        <v>231480</v>
      </c>
      <c r="AR59" s="39">
        <v>1</v>
      </c>
      <c r="AS59" s="39">
        <v>1</v>
      </c>
      <c r="AT59" s="41">
        <v>46104.334722222222</v>
      </c>
      <c r="AU59" s="42" t="s">
        <v>63</v>
      </c>
    </row>
    <row r="60" spans="1:47" ht="13.5" customHeight="1" x14ac:dyDescent="0.2">
      <c r="A60" s="20" t="s">
        <v>126</v>
      </c>
      <c r="B60" s="20"/>
      <c r="C60" s="20"/>
      <c r="D60" s="20"/>
      <c r="E60" s="21">
        <v>231481</v>
      </c>
      <c r="F60" s="22">
        <v>1</v>
      </c>
      <c r="G60" s="22">
        <v>1</v>
      </c>
      <c r="H60" s="23" t="s">
        <v>47</v>
      </c>
      <c r="I60" s="20" t="s">
        <v>26</v>
      </c>
      <c r="J60" s="20"/>
      <c r="P60" s="39" t="s">
        <v>235</v>
      </c>
      <c r="Q60" s="39">
        <v>231481</v>
      </c>
      <c r="R60" s="39">
        <v>1</v>
      </c>
      <c r="S60" s="40">
        <v>1</v>
      </c>
      <c r="T60" s="52">
        <v>46104.412499999999</v>
      </c>
      <c r="U60" s="42" t="s">
        <v>63</v>
      </c>
      <c r="V60" s="42" t="s">
        <v>188</v>
      </c>
      <c r="AP60" s="39" t="s">
        <v>235</v>
      </c>
      <c r="AQ60" s="39">
        <v>231481</v>
      </c>
      <c r="AR60" s="39">
        <v>1</v>
      </c>
      <c r="AS60" s="39">
        <v>1</v>
      </c>
      <c r="AT60" s="41">
        <v>46104.411805555559</v>
      </c>
      <c r="AU60" s="42" t="s">
        <v>63</v>
      </c>
    </row>
    <row r="61" spans="1:47" ht="13.5" customHeight="1" x14ac:dyDescent="0.2">
      <c r="A61" s="20" t="s">
        <v>127</v>
      </c>
      <c r="B61" s="20"/>
      <c r="C61" s="20"/>
      <c r="D61" s="20"/>
      <c r="E61" s="21">
        <v>231482</v>
      </c>
      <c r="F61" s="22">
        <v>1</v>
      </c>
      <c r="G61" s="22">
        <v>1</v>
      </c>
      <c r="H61" s="23" t="s">
        <v>53</v>
      </c>
      <c r="I61" s="20" t="s">
        <v>26</v>
      </c>
      <c r="J61" s="20"/>
      <c r="P61" s="39" t="s">
        <v>236</v>
      </c>
      <c r="Q61" s="39">
        <v>231482</v>
      </c>
      <c r="R61" s="39">
        <v>1</v>
      </c>
      <c r="S61" s="40">
        <v>1</v>
      </c>
      <c r="T61" s="52">
        <v>46104.411805555559</v>
      </c>
      <c r="U61" s="42" t="s">
        <v>63</v>
      </c>
      <c r="V61" s="42" t="s">
        <v>188</v>
      </c>
      <c r="AP61" s="39" t="s">
        <v>236</v>
      </c>
      <c r="AQ61" s="39">
        <v>231482</v>
      </c>
      <c r="AR61" s="39">
        <v>1</v>
      </c>
      <c r="AS61" s="39">
        <v>1</v>
      </c>
      <c r="AT61" s="41">
        <v>46104.411805555559</v>
      </c>
      <c r="AU61" s="42" t="s">
        <v>63</v>
      </c>
    </row>
    <row r="62" spans="1:47" ht="13.5" customHeight="1" x14ac:dyDescent="0.2">
      <c r="A62" s="20" t="s">
        <v>128</v>
      </c>
      <c r="B62" s="20"/>
      <c r="C62" s="20"/>
      <c r="D62" s="20"/>
      <c r="E62" s="21">
        <v>231483</v>
      </c>
      <c r="F62" s="22">
        <v>1</v>
      </c>
      <c r="G62" s="22">
        <v>1</v>
      </c>
      <c r="H62" s="23" t="s">
        <v>53</v>
      </c>
      <c r="I62" s="20" t="s">
        <v>26</v>
      </c>
      <c r="J62" s="20"/>
      <c r="P62" s="39" t="s">
        <v>237</v>
      </c>
      <c r="Q62" s="39">
        <v>231483</v>
      </c>
      <c r="R62" s="39">
        <v>1</v>
      </c>
      <c r="S62" s="40">
        <v>1</v>
      </c>
      <c r="T62" s="52">
        <v>46104.411805555559</v>
      </c>
      <c r="U62" s="42" t="s">
        <v>63</v>
      </c>
      <c r="V62" s="42" t="s">
        <v>188</v>
      </c>
      <c r="AP62" s="39" t="s">
        <v>237</v>
      </c>
      <c r="AQ62" s="39">
        <v>231483</v>
      </c>
      <c r="AR62" s="39">
        <v>1</v>
      </c>
      <c r="AS62" s="39">
        <v>1</v>
      </c>
      <c r="AT62" s="41">
        <v>46104.411111111112</v>
      </c>
      <c r="AU62" s="42" t="s">
        <v>63</v>
      </c>
    </row>
    <row r="63" spans="1:47" ht="13.5" customHeight="1" x14ac:dyDescent="0.2">
      <c r="A63" s="20" t="s">
        <v>129</v>
      </c>
      <c r="B63" s="20"/>
      <c r="C63" s="20"/>
      <c r="D63" s="20"/>
      <c r="E63" s="21">
        <v>231484</v>
      </c>
      <c r="F63" s="22">
        <v>1</v>
      </c>
      <c r="G63" s="22">
        <v>1</v>
      </c>
      <c r="H63" s="23" t="s">
        <v>130</v>
      </c>
      <c r="I63" s="20" t="s">
        <v>26</v>
      </c>
      <c r="J63" s="20"/>
      <c r="P63" s="39" t="s">
        <v>238</v>
      </c>
      <c r="Q63" s="39">
        <v>231484</v>
      </c>
      <c r="R63" s="39">
        <v>1</v>
      </c>
      <c r="S63" s="40">
        <v>1</v>
      </c>
      <c r="T63" s="52">
        <v>46104.411111111112</v>
      </c>
      <c r="U63" s="42" t="s">
        <v>63</v>
      </c>
      <c r="V63" s="42" t="s">
        <v>188</v>
      </c>
      <c r="AP63" s="39" t="s">
        <v>238</v>
      </c>
      <c r="AQ63" s="39">
        <v>231484</v>
      </c>
      <c r="AR63" s="39">
        <v>1</v>
      </c>
      <c r="AS63" s="39">
        <v>1</v>
      </c>
      <c r="AT63" s="41">
        <v>46104.411111111112</v>
      </c>
      <c r="AU63" s="42" t="s">
        <v>63</v>
      </c>
    </row>
    <row r="64" spans="1:47" ht="13.5" customHeight="1" x14ac:dyDescent="0.2">
      <c r="A64" s="20" t="s">
        <v>131</v>
      </c>
      <c r="B64" s="20"/>
      <c r="C64" s="20"/>
      <c r="D64" s="20"/>
      <c r="E64" s="21">
        <v>231485</v>
      </c>
      <c r="F64" s="22">
        <v>1</v>
      </c>
      <c r="G64" s="22">
        <v>1</v>
      </c>
      <c r="H64" s="23" t="s">
        <v>132</v>
      </c>
      <c r="I64" s="20" t="s">
        <v>133</v>
      </c>
      <c r="J64" s="20"/>
      <c r="P64" s="39"/>
      <c r="Q64" s="39"/>
      <c r="R64" s="39"/>
      <c r="S64" s="39"/>
      <c r="T64" s="52"/>
      <c r="U64" s="39"/>
      <c r="V64" s="39"/>
      <c r="AP64" s="39"/>
      <c r="AQ64" s="39"/>
      <c r="AR64" s="39"/>
      <c r="AS64" s="39"/>
      <c r="AT64" s="39"/>
      <c r="AU64" s="39"/>
    </row>
    <row r="65" spans="1:47" ht="13.5" customHeight="1" x14ac:dyDescent="0.2">
      <c r="A65" s="20" t="s">
        <v>131</v>
      </c>
      <c r="B65" s="20"/>
      <c r="C65" s="20"/>
      <c r="D65" s="20"/>
      <c r="E65" s="21">
        <v>231485</v>
      </c>
      <c r="F65" s="22">
        <v>2</v>
      </c>
      <c r="G65" s="22">
        <v>1</v>
      </c>
      <c r="H65" s="23" t="s">
        <v>134</v>
      </c>
      <c r="I65" s="20" t="s">
        <v>133</v>
      </c>
      <c r="J65" s="20"/>
      <c r="P65" s="39"/>
      <c r="Q65" s="39"/>
      <c r="R65" s="39"/>
      <c r="S65" s="39"/>
      <c r="T65" s="52"/>
      <c r="U65" s="39"/>
      <c r="V65" s="39"/>
      <c r="AP65" s="39"/>
      <c r="AQ65" s="39"/>
      <c r="AR65" s="39"/>
      <c r="AS65" s="39"/>
      <c r="AT65" s="39"/>
      <c r="AU65" s="39"/>
    </row>
    <row r="66" spans="1:47" ht="13.5" customHeight="1" x14ac:dyDescent="0.2">
      <c r="A66" s="20" t="s">
        <v>135</v>
      </c>
      <c r="B66" s="20"/>
      <c r="C66" s="20"/>
      <c r="D66" s="20"/>
      <c r="E66" s="21">
        <v>231486</v>
      </c>
      <c r="F66" s="22">
        <v>1</v>
      </c>
      <c r="G66" s="22">
        <v>1</v>
      </c>
      <c r="H66" s="23" t="s">
        <v>136</v>
      </c>
      <c r="I66" s="20" t="s">
        <v>137</v>
      </c>
      <c r="J66" s="20"/>
      <c r="P66" s="39" t="s">
        <v>239</v>
      </c>
      <c r="Q66" s="39">
        <v>231486</v>
      </c>
      <c r="R66" s="39">
        <v>1</v>
      </c>
      <c r="S66" s="40">
        <v>1</v>
      </c>
      <c r="T66" s="52">
        <v>46104.385416666664</v>
      </c>
      <c r="U66" s="42" t="s">
        <v>63</v>
      </c>
      <c r="V66" s="42" t="s">
        <v>188</v>
      </c>
      <c r="AP66" s="39" t="s">
        <v>239</v>
      </c>
      <c r="AQ66" s="39">
        <v>231486</v>
      </c>
      <c r="AR66" s="39">
        <v>1</v>
      </c>
      <c r="AS66" s="39">
        <v>1</v>
      </c>
      <c r="AT66" s="41">
        <v>46104.375</v>
      </c>
      <c r="AU66" s="42" t="s">
        <v>63</v>
      </c>
    </row>
    <row r="67" spans="1:47" ht="13.5" customHeight="1" x14ac:dyDescent="0.2">
      <c r="A67" s="20" t="s">
        <v>138</v>
      </c>
      <c r="B67" s="20"/>
      <c r="C67" s="20"/>
      <c r="D67" s="20"/>
      <c r="E67" s="21">
        <v>231487</v>
      </c>
      <c r="F67" s="22">
        <v>1</v>
      </c>
      <c r="G67" s="22">
        <v>1</v>
      </c>
      <c r="H67" s="23" t="s">
        <v>49</v>
      </c>
      <c r="I67" s="20" t="s">
        <v>42</v>
      </c>
      <c r="J67" s="20"/>
      <c r="P67" s="39" t="s">
        <v>240</v>
      </c>
      <c r="Q67" s="39">
        <v>231487</v>
      </c>
      <c r="R67" s="39">
        <v>1</v>
      </c>
      <c r="S67" s="40">
        <v>1</v>
      </c>
      <c r="T67" s="52">
        <v>46104.412499999999</v>
      </c>
      <c r="U67" s="42" t="s">
        <v>63</v>
      </c>
      <c r="V67" s="42" t="s">
        <v>188</v>
      </c>
      <c r="AP67" s="39" t="s">
        <v>240</v>
      </c>
      <c r="AQ67" s="39">
        <v>231487</v>
      </c>
      <c r="AR67" s="39">
        <v>1</v>
      </c>
      <c r="AS67" s="39">
        <v>1</v>
      </c>
      <c r="AT67" s="41">
        <v>46104.412499999999</v>
      </c>
      <c r="AU67" s="42" t="s">
        <v>63</v>
      </c>
    </row>
    <row r="68" spans="1:47" ht="13.5" customHeight="1" x14ac:dyDescent="0.2">
      <c r="A68" s="19" t="s">
        <v>55</v>
      </c>
      <c r="P68" s="39"/>
      <c r="Q68" s="39"/>
      <c r="R68" s="39"/>
      <c r="S68" s="39"/>
      <c r="T68" s="52"/>
      <c r="U68" s="39"/>
      <c r="V68" s="39"/>
      <c r="AP68" s="39"/>
      <c r="AQ68" s="39"/>
      <c r="AR68" s="39"/>
      <c r="AS68" s="39"/>
      <c r="AT68" s="39"/>
      <c r="AU68" s="39"/>
    </row>
    <row r="69" spans="1:47" ht="13.5" customHeight="1" x14ac:dyDescent="0.2">
      <c r="A69" s="20" t="s">
        <v>139</v>
      </c>
      <c r="B69" s="20"/>
      <c r="C69" s="20"/>
      <c r="D69" s="20"/>
      <c r="E69" s="21">
        <v>231426</v>
      </c>
      <c r="F69" s="22">
        <v>1</v>
      </c>
      <c r="G69" s="22">
        <v>4</v>
      </c>
      <c r="H69" s="23" t="s">
        <v>140</v>
      </c>
      <c r="I69" s="20" t="s">
        <v>141</v>
      </c>
      <c r="J69" s="20"/>
      <c r="P69" s="39"/>
      <c r="Q69" s="39"/>
      <c r="R69" s="39"/>
      <c r="S69" s="39"/>
      <c r="T69" s="52"/>
      <c r="U69" s="39"/>
      <c r="V69" s="39"/>
      <c r="AP69" s="39"/>
      <c r="AQ69" s="39"/>
      <c r="AR69" s="39"/>
      <c r="AS69" s="39"/>
      <c r="AT69" s="39"/>
      <c r="AU69" s="39"/>
    </row>
    <row r="70" spans="1:47" ht="13.5" customHeight="1" x14ac:dyDescent="0.2">
      <c r="A70" s="19" t="s">
        <v>8</v>
      </c>
      <c r="P70" s="39"/>
      <c r="Q70" s="39"/>
      <c r="R70" s="39"/>
      <c r="S70" s="39"/>
      <c r="T70" s="52"/>
      <c r="U70" s="39"/>
      <c r="V70" s="39"/>
      <c r="AP70" s="39"/>
      <c r="AQ70" s="39"/>
      <c r="AR70" s="39"/>
      <c r="AS70" s="39"/>
      <c r="AT70" s="39"/>
      <c r="AU70" s="39"/>
    </row>
    <row r="71" spans="1:47" ht="13.5" customHeight="1" x14ac:dyDescent="0.2">
      <c r="A71" s="20" t="s">
        <v>142</v>
      </c>
      <c r="B71" s="20"/>
      <c r="C71" s="20"/>
      <c r="D71" s="20"/>
      <c r="E71" s="21">
        <v>231297</v>
      </c>
      <c r="F71" s="22">
        <v>1</v>
      </c>
      <c r="G71" s="22">
        <v>1</v>
      </c>
      <c r="H71" s="23" t="s">
        <v>143</v>
      </c>
      <c r="I71" s="20" t="s">
        <v>27</v>
      </c>
      <c r="J71" s="20"/>
      <c r="P71" s="39" t="s">
        <v>241</v>
      </c>
      <c r="Q71" s="39">
        <v>231297</v>
      </c>
      <c r="R71" s="39">
        <v>1</v>
      </c>
      <c r="S71" s="40">
        <v>1</v>
      </c>
      <c r="T71" s="52">
        <v>46104.276388888888</v>
      </c>
      <c r="U71" s="42" t="s">
        <v>63</v>
      </c>
      <c r="V71" s="42" t="s">
        <v>188</v>
      </c>
      <c r="AP71" s="39" t="s">
        <v>241</v>
      </c>
      <c r="AQ71" s="39">
        <v>231297</v>
      </c>
      <c r="AR71" s="39">
        <v>1</v>
      </c>
      <c r="AS71" s="39">
        <v>1</v>
      </c>
      <c r="AT71" s="41">
        <v>46101.335416666669</v>
      </c>
      <c r="AU71" s="42" t="s">
        <v>63</v>
      </c>
    </row>
    <row r="72" spans="1:47" ht="13.5" customHeight="1" x14ac:dyDescent="0.2">
      <c r="A72" s="20" t="s">
        <v>142</v>
      </c>
      <c r="B72" s="20"/>
      <c r="C72" s="20"/>
      <c r="D72" s="20"/>
      <c r="E72" s="21">
        <v>231297</v>
      </c>
      <c r="F72" s="22">
        <v>2</v>
      </c>
      <c r="G72" s="22">
        <v>1</v>
      </c>
      <c r="H72" s="23" t="s">
        <v>144</v>
      </c>
      <c r="I72" s="20" t="s">
        <v>27</v>
      </c>
      <c r="J72" s="20"/>
      <c r="P72" s="39" t="s">
        <v>242</v>
      </c>
      <c r="Q72" s="39">
        <v>231297</v>
      </c>
      <c r="R72" s="39">
        <v>2</v>
      </c>
      <c r="S72" s="40">
        <v>1</v>
      </c>
      <c r="T72" s="52">
        <v>46104.268055555556</v>
      </c>
      <c r="U72" s="42" t="s">
        <v>63</v>
      </c>
      <c r="V72" s="42" t="s">
        <v>188</v>
      </c>
      <c r="AP72" s="39" t="s">
        <v>242</v>
      </c>
      <c r="AQ72" s="39">
        <v>231297</v>
      </c>
      <c r="AR72" s="39">
        <v>2</v>
      </c>
      <c r="AS72" s="39">
        <v>1</v>
      </c>
      <c r="AT72" s="41">
        <v>46101.338888888888</v>
      </c>
      <c r="AU72" s="42" t="s">
        <v>63</v>
      </c>
    </row>
    <row r="73" spans="1:47" ht="13.5" customHeight="1" x14ac:dyDescent="0.2">
      <c r="A73" s="20" t="s">
        <v>145</v>
      </c>
      <c r="B73" s="20"/>
      <c r="C73" s="20"/>
      <c r="D73" s="20"/>
      <c r="E73" s="21">
        <v>231298</v>
      </c>
      <c r="F73" s="22">
        <v>1</v>
      </c>
      <c r="G73" s="22">
        <v>1</v>
      </c>
      <c r="H73" s="23" t="s">
        <v>146</v>
      </c>
      <c r="I73" s="20" t="s">
        <v>77</v>
      </c>
      <c r="J73" s="20"/>
      <c r="P73" s="39" t="s">
        <v>243</v>
      </c>
      <c r="Q73" s="39">
        <v>231298</v>
      </c>
      <c r="R73" s="39">
        <v>1</v>
      </c>
      <c r="S73" s="40">
        <v>1</v>
      </c>
      <c r="T73" s="52">
        <v>46104.453472222223</v>
      </c>
      <c r="U73" s="42" t="s">
        <v>63</v>
      </c>
      <c r="V73" s="42" t="s">
        <v>188</v>
      </c>
      <c r="AP73" s="39" t="s">
        <v>243</v>
      </c>
      <c r="AQ73" s="39">
        <v>231298</v>
      </c>
      <c r="AR73" s="39">
        <v>1</v>
      </c>
      <c r="AS73" s="39">
        <v>1</v>
      </c>
      <c r="AT73" s="41">
        <v>46104.453472222223</v>
      </c>
      <c r="AU73" s="42" t="s">
        <v>63</v>
      </c>
    </row>
    <row r="74" spans="1:47" ht="13.5" customHeight="1" x14ac:dyDescent="0.2">
      <c r="A74" s="20" t="s">
        <v>145</v>
      </c>
      <c r="B74" s="20"/>
      <c r="C74" s="20"/>
      <c r="D74" s="20"/>
      <c r="E74" s="21">
        <v>231298</v>
      </c>
      <c r="F74" s="22">
        <v>2</v>
      </c>
      <c r="G74" s="22">
        <v>1</v>
      </c>
      <c r="H74" s="23" t="s">
        <v>147</v>
      </c>
      <c r="I74" s="20" t="s">
        <v>77</v>
      </c>
      <c r="J74" s="20"/>
      <c r="P74" s="39" t="s">
        <v>244</v>
      </c>
      <c r="Q74" s="39">
        <v>231298</v>
      </c>
      <c r="R74" s="39">
        <v>2</v>
      </c>
      <c r="S74" s="39">
        <v>1</v>
      </c>
      <c r="T74" s="52">
        <v>46104.272916666669</v>
      </c>
      <c r="U74" s="44" t="s">
        <v>63</v>
      </c>
      <c r="V74" s="44" t="s">
        <v>188</v>
      </c>
      <c r="AP74" s="39" t="s">
        <v>244</v>
      </c>
      <c r="AQ74" s="39">
        <v>231298</v>
      </c>
      <c r="AR74" s="39">
        <v>2</v>
      </c>
      <c r="AS74" s="39">
        <v>1</v>
      </c>
      <c r="AT74" s="41">
        <v>46101.335416666669</v>
      </c>
      <c r="AU74" s="42" t="s">
        <v>63</v>
      </c>
    </row>
    <row r="75" spans="1:47" ht="13.5" customHeight="1" x14ac:dyDescent="0.2">
      <c r="A75" s="20" t="s">
        <v>148</v>
      </c>
      <c r="B75" s="20"/>
      <c r="C75" s="20"/>
      <c r="D75" s="20"/>
      <c r="E75" s="21">
        <v>231299</v>
      </c>
      <c r="F75" s="22">
        <v>1</v>
      </c>
      <c r="G75" s="22">
        <v>1</v>
      </c>
      <c r="H75" s="23" t="s">
        <v>149</v>
      </c>
      <c r="I75" s="20" t="s">
        <v>150</v>
      </c>
      <c r="J75" s="20"/>
      <c r="P75" s="39" t="s">
        <v>245</v>
      </c>
      <c r="Q75" s="39">
        <v>231299</v>
      </c>
      <c r="R75" s="39">
        <v>1</v>
      </c>
      <c r="S75" s="39">
        <v>1</v>
      </c>
      <c r="T75" s="52">
        <v>46104.274305555555</v>
      </c>
      <c r="U75" s="44" t="s">
        <v>63</v>
      </c>
      <c r="V75" s="44" t="s">
        <v>188</v>
      </c>
      <c r="AP75" s="39" t="s">
        <v>245</v>
      </c>
      <c r="AQ75" s="39">
        <v>231299</v>
      </c>
      <c r="AR75" s="39">
        <v>1</v>
      </c>
      <c r="AS75" s="39">
        <v>1</v>
      </c>
      <c r="AT75" s="41">
        <v>46101.334722222222</v>
      </c>
      <c r="AU75" s="42" t="s">
        <v>63</v>
      </c>
    </row>
    <row r="76" spans="1:47" ht="13.5" customHeight="1" x14ac:dyDescent="0.2">
      <c r="A76" s="20" t="s">
        <v>151</v>
      </c>
      <c r="B76" s="20"/>
      <c r="C76" s="20"/>
      <c r="D76" s="20"/>
      <c r="E76" s="21">
        <v>231300</v>
      </c>
      <c r="F76" s="22">
        <v>1</v>
      </c>
      <c r="G76" s="22">
        <v>1</v>
      </c>
      <c r="H76" s="23" t="s">
        <v>152</v>
      </c>
      <c r="I76" s="20" t="s">
        <v>153</v>
      </c>
      <c r="J76" s="20"/>
      <c r="P76" s="39" t="s">
        <v>244</v>
      </c>
      <c r="Q76" s="39">
        <v>231300</v>
      </c>
      <c r="R76" s="39">
        <v>1</v>
      </c>
      <c r="S76" s="40">
        <v>1</v>
      </c>
      <c r="T76" s="52">
        <v>46104.271527777775</v>
      </c>
      <c r="U76" s="42" t="s">
        <v>63</v>
      </c>
      <c r="V76" s="42" t="s">
        <v>188</v>
      </c>
      <c r="AP76" s="39" t="s">
        <v>266</v>
      </c>
      <c r="AQ76" s="39">
        <v>231300</v>
      </c>
      <c r="AR76" s="39">
        <v>1</v>
      </c>
      <c r="AS76" s="39">
        <v>1</v>
      </c>
      <c r="AT76" s="41">
        <v>46101.338194444441</v>
      </c>
      <c r="AU76" s="42" t="s">
        <v>63</v>
      </c>
    </row>
    <row r="77" spans="1:47" ht="13.5" customHeight="1" x14ac:dyDescent="0.2">
      <c r="A77" s="20" t="s">
        <v>151</v>
      </c>
      <c r="B77" s="20"/>
      <c r="C77" s="20"/>
      <c r="D77" s="20"/>
      <c r="E77" s="21">
        <v>231300</v>
      </c>
      <c r="F77" s="22">
        <v>2</v>
      </c>
      <c r="G77" s="22">
        <v>1</v>
      </c>
      <c r="H77" s="23" t="s">
        <v>154</v>
      </c>
      <c r="I77" s="20" t="s">
        <v>153</v>
      </c>
      <c r="J77" s="20"/>
      <c r="P77" s="39" t="s">
        <v>246</v>
      </c>
      <c r="Q77" s="39">
        <v>231300</v>
      </c>
      <c r="R77" s="39">
        <v>2</v>
      </c>
      <c r="S77" s="40">
        <v>1</v>
      </c>
      <c r="T77" s="52">
        <v>46104.45416666667</v>
      </c>
      <c r="U77" s="42" t="s">
        <v>63</v>
      </c>
      <c r="V77" s="42" t="s">
        <v>188</v>
      </c>
      <c r="AP77" s="39" t="s">
        <v>246</v>
      </c>
      <c r="AQ77" s="39">
        <v>231300</v>
      </c>
      <c r="AR77" s="39">
        <v>2</v>
      </c>
      <c r="AS77" s="39">
        <v>1</v>
      </c>
      <c r="AT77" s="41">
        <v>46101.549305555556</v>
      </c>
      <c r="AU77" s="42" t="s">
        <v>63</v>
      </c>
    </row>
    <row r="78" spans="1:47" ht="13.5" customHeight="1" x14ac:dyDescent="0.2">
      <c r="A78" s="20" t="s">
        <v>155</v>
      </c>
      <c r="B78" s="20"/>
      <c r="C78" s="20"/>
      <c r="D78" s="20"/>
      <c r="E78" s="21">
        <v>231301</v>
      </c>
      <c r="F78" s="22">
        <v>1</v>
      </c>
      <c r="G78" s="22">
        <v>1</v>
      </c>
      <c r="H78" s="23" t="s">
        <v>156</v>
      </c>
      <c r="I78" s="20" t="s">
        <v>153</v>
      </c>
      <c r="J78" s="20"/>
      <c r="P78" s="39" t="s">
        <v>247</v>
      </c>
      <c r="Q78" s="39">
        <v>231301</v>
      </c>
      <c r="R78" s="39">
        <v>1</v>
      </c>
      <c r="S78" s="40">
        <v>1</v>
      </c>
      <c r="T78" s="52">
        <v>46104.273611111108</v>
      </c>
      <c r="U78" s="42" t="s">
        <v>63</v>
      </c>
      <c r="V78" s="42" t="s">
        <v>188</v>
      </c>
      <c r="AP78" s="39" t="s">
        <v>247</v>
      </c>
      <c r="AQ78" s="39">
        <v>231301</v>
      </c>
      <c r="AR78" s="39">
        <v>1</v>
      </c>
      <c r="AS78" s="39">
        <v>1</v>
      </c>
      <c r="AT78" s="41">
        <v>46101.336805555555</v>
      </c>
      <c r="AU78" s="42" t="s">
        <v>63</v>
      </c>
    </row>
    <row r="79" spans="1:47" ht="13.5" customHeight="1" x14ac:dyDescent="0.2">
      <c r="A79" s="20" t="s">
        <v>155</v>
      </c>
      <c r="B79" s="20"/>
      <c r="C79" s="20"/>
      <c r="D79" s="20"/>
      <c r="E79" s="21">
        <v>231301</v>
      </c>
      <c r="F79" s="22">
        <v>2</v>
      </c>
      <c r="G79" s="22">
        <v>1</v>
      </c>
      <c r="H79" s="23" t="s">
        <v>157</v>
      </c>
      <c r="I79" s="20" t="s">
        <v>153</v>
      </c>
      <c r="J79" s="20"/>
      <c r="P79" s="39" t="s">
        <v>248</v>
      </c>
      <c r="Q79" s="39">
        <v>231301</v>
      </c>
      <c r="R79" s="39">
        <v>2</v>
      </c>
      <c r="S79" s="40">
        <v>1</v>
      </c>
      <c r="T79" s="52">
        <v>46104.271527777775</v>
      </c>
      <c r="U79" s="42" t="s">
        <v>63</v>
      </c>
      <c r="V79" s="42" t="s">
        <v>188</v>
      </c>
      <c r="AP79" s="39" t="s">
        <v>248</v>
      </c>
      <c r="AQ79" s="39">
        <v>231301</v>
      </c>
      <c r="AR79" s="39">
        <v>2</v>
      </c>
      <c r="AS79" s="39">
        <v>1</v>
      </c>
      <c r="AT79" s="41">
        <v>46101.338194444441</v>
      </c>
      <c r="AU79" s="42" t="s">
        <v>63</v>
      </c>
    </row>
    <row r="80" spans="1:47" ht="13.5" customHeight="1" x14ac:dyDescent="0.2">
      <c r="A80" s="20" t="s">
        <v>158</v>
      </c>
      <c r="B80" s="20"/>
      <c r="C80" s="20"/>
      <c r="D80" s="20"/>
      <c r="E80" s="21">
        <v>231302</v>
      </c>
      <c r="F80" s="22">
        <v>1</v>
      </c>
      <c r="G80" s="22">
        <v>1</v>
      </c>
      <c r="H80" s="23" t="s">
        <v>159</v>
      </c>
      <c r="I80" s="20" t="s">
        <v>153</v>
      </c>
      <c r="J80" s="20"/>
      <c r="P80" s="39" t="s">
        <v>249</v>
      </c>
      <c r="Q80" s="39">
        <v>231302</v>
      </c>
      <c r="R80" s="39">
        <v>1</v>
      </c>
      <c r="S80" s="40">
        <v>1</v>
      </c>
      <c r="T80" s="52">
        <v>46104.272222222222</v>
      </c>
      <c r="U80" s="42" t="s">
        <v>63</v>
      </c>
      <c r="V80" s="42" t="s">
        <v>188</v>
      </c>
      <c r="AP80" s="39" t="s">
        <v>249</v>
      </c>
      <c r="AQ80" s="39">
        <v>231302</v>
      </c>
      <c r="AR80" s="39">
        <v>1</v>
      </c>
      <c r="AS80" s="39">
        <v>1</v>
      </c>
      <c r="AT80" s="41">
        <v>46101.337500000001</v>
      </c>
      <c r="AU80" s="42" t="s">
        <v>63</v>
      </c>
    </row>
    <row r="81" spans="1:47" ht="13.5" customHeight="1" x14ac:dyDescent="0.2">
      <c r="A81" s="20" t="s">
        <v>158</v>
      </c>
      <c r="B81" s="20"/>
      <c r="C81" s="20"/>
      <c r="D81" s="20"/>
      <c r="E81" s="21">
        <v>231302</v>
      </c>
      <c r="F81" s="22">
        <v>2</v>
      </c>
      <c r="G81" s="22">
        <v>1</v>
      </c>
      <c r="H81" s="23" t="s">
        <v>144</v>
      </c>
      <c r="I81" s="20" t="s">
        <v>153</v>
      </c>
      <c r="J81" s="20"/>
      <c r="P81" s="39" t="s">
        <v>250</v>
      </c>
      <c r="Q81" s="39">
        <v>231302</v>
      </c>
      <c r="R81" s="39">
        <v>2</v>
      </c>
      <c r="S81" s="40">
        <v>1</v>
      </c>
      <c r="T81" s="52">
        <v>46104.268750000003</v>
      </c>
      <c r="U81" s="42" t="s">
        <v>63</v>
      </c>
      <c r="V81" s="42" t="s">
        <v>188</v>
      </c>
      <c r="AP81" s="39" t="s">
        <v>250</v>
      </c>
      <c r="AQ81" s="39">
        <v>231302</v>
      </c>
      <c r="AR81" s="39">
        <v>2</v>
      </c>
      <c r="AS81" s="39">
        <v>1</v>
      </c>
      <c r="AT81" s="41">
        <v>46101.338194444441</v>
      </c>
      <c r="AU81" s="42" t="s">
        <v>63</v>
      </c>
    </row>
    <row r="82" spans="1:47" ht="13.5" customHeight="1" x14ac:dyDescent="0.2">
      <c r="A82" s="20" t="s">
        <v>160</v>
      </c>
      <c r="B82" s="20"/>
      <c r="C82" s="20"/>
      <c r="D82" s="20"/>
      <c r="E82" s="21">
        <v>231303</v>
      </c>
      <c r="F82" s="22">
        <v>1</v>
      </c>
      <c r="G82" s="22">
        <v>1</v>
      </c>
      <c r="H82" s="23" t="s">
        <v>161</v>
      </c>
      <c r="I82" s="20" t="s">
        <v>83</v>
      </c>
      <c r="J82" s="20"/>
      <c r="P82" s="39" t="s">
        <v>251</v>
      </c>
      <c r="Q82" s="39">
        <v>231303</v>
      </c>
      <c r="R82" s="39">
        <v>1</v>
      </c>
      <c r="S82" s="40">
        <v>1</v>
      </c>
      <c r="T82" s="52">
        <v>46104.263888888891</v>
      </c>
      <c r="U82" s="42" t="s">
        <v>63</v>
      </c>
      <c r="V82" s="42" t="s">
        <v>188</v>
      </c>
      <c r="AP82" s="39" t="s">
        <v>251</v>
      </c>
      <c r="AQ82" s="39">
        <v>231303</v>
      </c>
      <c r="AR82" s="39">
        <v>1</v>
      </c>
      <c r="AS82" s="39">
        <v>1</v>
      </c>
      <c r="AT82" s="41">
        <v>46101.333333333336</v>
      </c>
      <c r="AU82" s="42" t="s">
        <v>63</v>
      </c>
    </row>
    <row r="83" spans="1:47" ht="13.5" customHeight="1" x14ac:dyDescent="0.2">
      <c r="A83" s="20" t="s">
        <v>160</v>
      </c>
      <c r="B83" s="20"/>
      <c r="C83" s="20"/>
      <c r="D83" s="20"/>
      <c r="E83" s="21">
        <v>231303</v>
      </c>
      <c r="F83" s="22">
        <v>2</v>
      </c>
      <c r="G83" s="22">
        <v>1</v>
      </c>
      <c r="H83" s="23" t="s">
        <v>162</v>
      </c>
      <c r="I83" s="20" t="s">
        <v>83</v>
      </c>
      <c r="J83" s="20"/>
      <c r="P83" s="39" t="s">
        <v>252</v>
      </c>
      <c r="Q83" s="39">
        <v>231303</v>
      </c>
      <c r="R83" s="39">
        <v>2</v>
      </c>
      <c r="S83" s="40">
        <v>1</v>
      </c>
      <c r="T83" s="52">
        <v>46104.275000000001</v>
      </c>
      <c r="U83" s="42" t="s">
        <v>63</v>
      </c>
      <c r="V83" s="42" t="s">
        <v>188</v>
      </c>
      <c r="AP83" s="39" t="s">
        <v>252</v>
      </c>
      <c r="AQ83" s="39">
        <v>231303</v>
      </c>
      <c r="AR83" s="39">
        <v>2</v>
      </c>
      <c r="AS83" s="39">
        <v>1</v>
      </c>
      <c r="AT83" s="41">
        <v>46101.336111111108</v>
      </c>
      <c r="AU83" s="42" t="s">
        <v>63</v>
      </c>
    </row>
    <row r="84" spans="1:47" ht="13.5" customHeight="1" x14ac:dyDescent="0.2">
      <c r="A84" s="20" t="s">
        <v>160</v>
      </c>
      <c r="B84" s="20"/>
      <c r="C84" s="20"/>
      <c r="D84" s="20"/>
      <c r="E84" s="21">
        <v>231303</v>
      </c>
      <c r="F84" s="22">
        <v>3</v>
      </c>
      <c r="G84" s="22">
        <v>1</v>
      </c>
      <c r="H84" s="23" t="s">
        <v>163</v>
      </c>
      <c r="I84" s="20" t="s">
        <v>83</v>
      </c>
      <c r="J84" s="20"/>
      <c r="P84" s="39" t="s">
        <v>253</v>
      </c>
      <c r="Q84" s="39">
        <v>231303</v>
      </c>
      <c r="R84" s="39">
        <v>3</v>
      </c>
      <c r="S84" s="40">
        <v>1</v>
      </c>
      <c r="T84" s="52">
        <v>46104.273611111108</v>
      </c>
      <c r="U84" s="42" t="s">
        <v>63</v>
      </c>
      <c r="V84" s="42" t="s">
        <v>188</v>
      </c>
      <c r="AP84" s="39" t="s">
        <v>253</v>
      </c>
      <c r="AQ84" s="39">
        <v>231303</v>
      </c>
      <c r="AR84" s="39">
        <v>3</v>
      </c>
      <c r="AS84" s="39">
        <v>1</v>
      </c>
      <c r="AT84" s="41">
        <v>46101.336805555555</v>
      </c>
      <c r="AU84" s="42" t="s">
        <v>63</v>
      </c>
    </row>
    <row r="85" spans="1:47" ht="13.5" customHeight="1" x14ac:dyDescent="0.2">
      <c r="A85" s="20" t="s">
        <v>160</v>
      </c>
      <c r="B85" s="20"/>
      <c r="C85" s="20"/>
      <c r="D85" s="20"/>
      <c r="E85" s="21">
        <v>231303</v>
      </c>
      <c r="F85" s="22">
        <v>4</v>
      </c>
      <c r="G85" s="22">
        <v>1</v>
      </c>
      <c r="H85" s="23" t="s">
        <v>164</v>
      </c>
      <c r="I85" s="20" t="s">
        <v>83</v>
      </c>
      <c r="J85" s="20"/>
      <c r="P85" s="39"/>
      <c r="Q85" s="39"/>
      <c r="R85" s="39"/>
      <c r="S85" s="39"/>
      <c r="T85" s="52"/>
      <c r="U85" s="39"/>
      <c r="V85" s="39"/>
      <c r="AP85" s="39"/>
      <c r="AQ85" s="39"/>
      <c r="AR85" s="39"/>
      <c r="AS85" s="39"/>
      <c r="AT85" s="39"/>
      <c r="AU85" s="39"/>
    </row>
    <row r="86" spans="1:47" ht="13.5" customHeight="1" x14ac:dyDescent="0.2">
      <c r="A86" s="20" t="s">
        <v>165</v>
      </c>
      <c r="B86" s="20"/>
      <c r="C86" s="20"/>
      <c r="D86" s="20"/>
      <c r="E86" s="21">
        <v>231304</v>
      </c>
      <c r="F86" s="22">
        <v>1</v>
      </c>
      <c r="G86" s="22">
        <v>1</v>
      </c>
      <c r="H86" s="23" t="s">
        <v>166</v>
      </c>
      <c r="I86" s="20" t="s">
        <v>153</v>
      </c>
      <c r="J86" s="20"/>
      <c r="P86" s="39" t="s">
        <v>254</v>
      </c>
      <c r="Q86" s="39">
        <v>231304</v>
      </c>
      <c r="R86" s="39">
        <v>1</v>
      </c>
      <c r="S86" s="40">
        <v>1</v>
      </c>
      <c r="T86" s="52">
        <v>46104.275000000001</v>
      </c>
      <c r="U86" s="42" t="s">
        <v>63</v>
      </c>
      <c r="V86" s="42" t="s">
        <v>188</v>
      </c>
      <c r="AP86" s="39" t="s">
        <v>254</v>
      </c>
      <c r="AQ86" s="39">
        <v>231304</v>
      </c>
      <c r="AR86" s="39">
        <v>1</v>
      </c>
      <c r="AS86" s="39">
        <v>1</v>
      </c>
      <c r="AT86" s="41">
        <v>46101.336111111108</v>
      </c>
      <c r="AU86" s="42" t="s">
        <v>63</v>
      </c>
    </row>
    <row r="87" spans="1:47" ht="13.5" customHeight="1" x14ac:dyDescent="0.2">
      <c r="A87" s="20" t="s">
        <v>165</v>
      </c>
      <c r="B87" s="20"/>
      <c r="C87" s="20"/>
      <c r="D87" s="20"/>
      <c r="E87" s="21">
        <v>231304</v>
      </c>
      <c r="F87" s="22">
        <v>2</v>
      </c>
      <c r="G87" s="22">
        <v>1</v>
      </c>
      <c r="H87" s="23" t="s">
        <v>167</v>
      </c>
      <c r="I87" s="20" t="s">
        <v>153</v>
      </c>
      <c r="J87" s="20"/>
      <c r="P87" s="39" t="s">
        <v>255</v>
      </c>
      <c r="Q87" s="39">
        <v>231304</v>
      </c>
      <c r="R87" s="39">
        <v>2</v>
      </c>
      <c r="S87" s="40">
        <v>1</v>
      </c>
      <c r="T87" s="52">
        <v>46104.270833333336</v>
      </c>
      <c r="U87" s="42" t="s">
        <v>63</v>
      </c>
      <c r="V87" s="42" t="s">
        <v>188</v>
      </c>
      <c r="AP87" s="39" t="s">
        <v>255</v>
      </c>
      <c r="AQ87" s="39">
        <v>231304</v>
      </c>
      <c r="AR87" s="39">
        <v>2</v>
      </c>
      <c r="AS87" s="39">
        <v>1</v>
      </c>
      <c r="AT87" s="41">
        <v>46101.338194444441</v>
      </c>
      <c r="AU87" s="42" t="s">
        <v>63</v>
      </c>
    </row>
    <row r="88" spans="1:47" ht="13.5" customHeight="1" x14ac:dyDescent="0.2">
      <c r="A88" s="20" t="s">
        <v>165</v>
      </c>
      <c r="B88" s="20"/>
      <c r="C88" s="20"/>
      <c r="D88" s="20"/>
      <c r="E88" s="21">
        <v>231304</v>
      </c>
      <c r="F88" s="22">
        <v>3</v>
      </c>
      <c r="G88" s="22">
        <v>1</v>
      </c>
      <c r="H88" s="23" t="s">
        <v>168</v>
      </c>
      <c r="I88" s="20" t="s">
        <v>153</v>
      </c>
      <c r="J88" s="20"/>
      <c r="P88" s="39" t="s">
        <v>256</v>
      </c>
      <c r="Q88" s="39">
        <v>231304</v>
      </c>
      <c r="R88" s="39">
        <v>3</v>
      </c>
      <c r="S88" s="40">
        <v>1</v>
      </c>
      <c r="T88" s="52">
        <v>46104.267361111109</v>
      </c>
      <c r="U88" s="42" t="s">
        <v>63</v>
      </c>
      <c r="V88" s="42" t="s">
        <v>188</v>
      </c>
      <c r="AP88" s="39" t="s">
        <v>256</v>
      </c>
      <c r="AQ88" s="39">
        <v>231304</v>
      </c>
      <c r="AR88" s="39">
        <v>3</v>
      </c>
      <c r="AS88" s="39">
        <v>1</v>
      </c>
      <c r="AT88" s="41">
        <v>46101.338888888888</v>
      </c>
      <c r="AU88" s="42" t="s">
        <v>63</v>
      </c>
    </row>
    <row r="89" spans="1:47" ht="13.5" customHeight="1" x14ac:dyDescent="0.2">
      <c r="A89" s="20" t="s">
        <v>169</v>
      </c>
      <c r="B89" s="20"/>
      <c r="C89" s="20"/>
      <c r="D89" s="20"/>
      <c r="E89" s="21">
        <v>231305</v>
      </c>
      <c r="F89" s="22">
        <v>1</v>
      </c>
      <c r="G89" s="22">
        <v>1</v>
      </c>
      <c r="H89" s="23" t="s">
        <v>170</v>
      </c>
      <c r="I89" s="20" t="s">
        <v>153</v>
      </c>
      <c r="J89" s="20"/>
      <c r="P89" s="39" t="s">
        <v>257</v>
      </c>
      <c r="Q89" s="39">
        <v>231305</v>
      </c>
      <c r="R89" s="39">
        <v>1</v>
      </c>
      <c r="S89" s="40">
        <v>1</v>
      </c>
      <c r="T89" s="52">
        <v>46104.275694444441</v>
      </c>
      <c r="U89" s="42" t="s">
        <v>63</v>
      </c>
      <c r="V89" s="42" t="s">
        <v>188</v>
      </c>
      <c r="AP89" s="39" t="s">
        <v>257</v>
      </c>
      <c r="AQ89" s="39">
        <v>231305</v>
      </c>
      <c r="AR89" s="39">
        <v>1</v>
      </c>
      <c r="AS89" s="39">
        <v>1</v>
      </c>
      <c r="AT89" s="41">
        <v>46101.335416666669</v>
      </c>
      <c r="AU89" s="42" t="s">
        <v>63</v>
      </c>
    </row>
    <row r="90" spans="1:47" ht="13.5" customHeight="1" x14ac:dyDescent="0.2">
      <c r="A90" s="20" t="s">
        <v>169</v>
      </c>
      <c r="B90" s="20"/>
      <c r="C90" s="20"/>
      <c r="D90" s="20"/>
      <c r="E90" s="21">
        <v>231305</v>
      </c>
      <c r="F90" s="22">
        <v>2</v>
      </c>
      <c r="G90" s="22">
        <v>1</v>
      </c>
      <c r="H90" s="23" t="s">
        <v>171</v>
      </c>
      <c r="I90" s="20" t="s">
        <v>153</v>
      </c>
      <c r="J90" s="20"/>
      <c r="P90" s="39" t="s">
        <v>258</v>
      </c>
      <c r="Q90" s="39">
        <v>231305</v>
      </c>
      <c r="R90" s="39">
        <v>2</v>
      </c>
      <c r="S90" s="40">
        <v>1</v>
      </c>
      <c r="T90" s="52">
        <v>46104.272222222222</v>
      </c>
      <c r="U90" s="42" t="s">
        <v>63</v>
      </c>
      <c r="V90" s="42" t="s">
        <v>188</v>
      </c>
      <c r="AP90" s="39" t="s">
        <v>258</v>
      </c>
      <c r="AQ90" s="39">
        <v>231305</v>
      </c>
      <c r="AR90" s="39">
        <v>2</v>
      </c>
      <c r="AS90" s="39">
        <v>1</v>
      </c>
      <c r="AT90" s="41">
        <v>46101.337500000001</v>
      </c>
      <c r="AU90" s="42" t="s">
        <v>63</v>
      </c>
    </row>
    <row r="91" spans="1:47" ht="13.5" customHeight="1" x14ac:dyDescent="0.2">
      <c r="A91" s="20" t="s">
        <v>172</v>
      </c>
      <c r="B91" s="20"/>
      <c r="C91" s="20"/>
      <c r="D91" s="20"/>
      <c r="E91" s="21">
        <v>231307</v>
      </c>
      <c r="F91" s="22">
        <v>1</v>
      </c>
      <c r="G91" s="22">
        <v>1</v>
      </c>
      <c r="H91" s="23" t="s">
        <v>173</v>
      </c>
      <c r="I91" s="20" t="s">
        <v>174</v>
      </c>
      <c r="J91" s="20"/>
      <c r="P91" s="39" t="s">
        <v>259</v>
      </c>
      <c r="Q91" s="39">
        <v>231307</v>
      </c>
      <c r="R91" s="39">
        <v>1</v>
      </c>
      <c r="S91" s="40">
        <v>1</v>
      </c>
      <c r="T91" s="52">
        <v>46104.453472222223</v>
      </c>
      <c r="U91" s="42" t="s">
        <v>63</v>
      </c>
      <c r="V91" s="42" t="s">
        <v>188</v>
      </c>
      <c r="AP91" s="39" t="s">
        <v>259</v>
      </c>
      <c r="AQ91" s="39">
        <v>231307</v>
      </c>
      <c r="AR91" s="39">
        <v>1</v>
      </c>
      <c r="AS91" s="39">
        <v>1</v>
      </c>
      <c r="AT91" s="41">
        <v>46101.339583333334</v>
      </c>
      <c r="AU91" s="42" t="s">
        <v>63</v>
      </c>
    </row>
    <row r="92" spans="1:47" ht="13.5" customHeight="1" x14ac:dyDescent="0.2">
      <c r="A92" s="20" t="s">
        <v>175</v>
      </c>
      <c r="B92" s="20"/>
      <c r="C92" s="20"/>
      <c r="D92" s="20"/>
      <c r="E92" s="21">
        <v>231309</v>
      </c>
      <c r="F92" s="22">
        <v>1</v>
      </c>
      <c r="G92" s="22">
        <v>1</v>
      </c>
      <c r="H92" s="23" t="s">
        <v>176</v>
      </c>
      <c r="I92" s="20" t="s">
        <v>177</v>
      </c>
      <c r="J92" s="20"/>
      <c r="P92" s="39" t="s">
        <v>260</v>
      </c>
      <c r="Q92" s="39">
        <v>231309</v>
      </c>
      <c r="R92" s="39">
        <v>1</v>
      </c>
      <c r="S92" s="40">
        <v>1</v>
      </c>
      <c r="T92" s="52">
        <v>46104.272916666669</v>
      </c>
      <c r="U92" s="42" t="s">
        <v>63</v>
      </c>
      <c r="V92" s="42" t="s">
        <v>188</v>
      </c>
      <c r="AP92" s="39" t="s">
        <v>260</v>
      </c>
      <c r="AQ92" s="39">
        <v>231309</v>
      </c>
      <c r="AR92" s="39">
        <v>1</v>
      </c>
      <c r="AS92" s="39">
        <v>1</v>
      </c>
      <c r="AT92" s="41">
        <v>46101.336805555555</v>
      </c>
      <c r="AU92" s="42" t="s">
        <v>63</v>
      </c>
    </row>
    <row r="93" spans="1:47" ht="13.5" customHeight="1" x14ac:dyDescent="0.2">
      <c r="A93" s="20" t="s">
        <v>175</v>
      </c>
      <c r="B93" s="20"/>
      <c r="C93" s="20"/>
      <c r="D93" s="20"/>
      <c r="E93" s="21">
        <v>231309</v>
      </c>
      <c r="F93" s="22">
        <v>2</v>
      </c>
      <c r="G93" s="22">
        <v>1</v>
      </c>
      <c r="H93" s="23" t="s">
        <v>178</v>
      </c>
      <c r="I93" s="20" t="s">
        <v>177</v>
      </c>
      <c r="J93" s="20"/>
      <c r="P93" s="39" t="s">
        <v>261</v>
      </c>
      <c r="Q93" s="39">
        <v>231309</v>
      </c>
      <c r="R93" s="39">
        <v>2</v>
      </c>
      <c r="S93" s="40">
        <v>1</v>
      </c>
      <c r="T93" s="52">
        <v>46104.263194444444</v>
      </c>
      <c r="U93" s="42" t="s">
        <v>63</v>
      </c>
      <c r="V93" s="42" t="s">
        <v>188</v>
      </c>
      <c r="AP93" s="39" t="s">
        <v>261</v>
      </c>
      <c r="AQ93" s="39">
        <v>231309</v>
      </c>
      <c r="AR93" s="39">
        <v>2</v>
      </c>
      <c r="AS93" s="39">
        <v>1</v>
      </c>
      <c r="AT93" s="41">
        <v>46101.584027777775</v>
      </c>
      <c r="AU93" s="42" t="s">
        <v>63</v>
      </c>
    </row>
    <row r="94" spans="1:47" ht="13.5" customHeight="1" x14ac:dyDescent="0.2">
      <c r="A94" s="20" t="s">
        <v>175</v>
      </c>
      <c r="B94" s="20"/>
      <c r="C94" s="20"/>
      <c r="D94" s="20"/>
      <c r="E94" s="21">
        <v>231309</v>
      </c>
      <c r="F94" s="22">
        <v>3</v>
      </c>
      <c r="G94" s="22">
        <v>1</v>
      </c>
      <c r="H94" s="23" t="s">
        <v>179</v>
      </c>
      <c r="I94" s="20" t="s">
        <v>177</v>
      </c>
      <c r="J94" s="20"/>
      <c r="P94" s="39" t="s">
        <v>262</v>
      </c>
      <c r="Q94" s="39">
        <v>231309</v>
      </c>
      <c r="R94" s="39">
        <v>3</v>
      </c>
      <c r="S94" s="40">
        <v>1</v>
      </c>
      <c r="T94" s="52">
        <v>46104.45416666667</v>
      </c>
      <c r="U94" s="42" t="s">
        <v>63</v>
      </c>
      <c r="V94" s="42" t="s">
        <v>188</v>
      </c>
      <c r="AP94" s="39" t="s">
        <v>262</v>
      </c>
      <c r="AQ94" s="39">
        <v>231309</v>
      </c>
      <c r="AR94" s="39">
        <v>3</v>
      </c>
      <c r="AS94" s="39">
        <v>1</v>
      </c>
      <c r="AT94" s="41">
        <v>46101.538888888892</v>
      </c>
      <c r="AU94" s="42" t="s">
        <v>63</v>
      </c>
    </row>
    <row r="95" spans="1:47" ht="13.5" customHeight="1" x14ac:dyDescent="0.2">
      <c r="A95" s="20" t="s">
        <v>180</v>
      </c>
      <c r="B95" s="20"/>
      <c r="C95" s="20"/>
      <c r="D95" s="20"/>
      <c r="E95" s="21">
        <v>231473</v>
      </c>
      <c r="F95" s="22">
        <v>1</v>
      </c>
      <c r="G95" s="22">
        <v>1</v>
      </c>
      <c r="H95" s="23" t="s">
        <v>181</v>
      </c>
      <c r="I95" s="20" t="s">
        <v>46</v>
      </c>
      <c r="J95" s="20"/>
      <c r="P95" s="39" t="s">
        <v>263</v>
      </c>
      <c r="Q95" s="39">
        <v>231473</v>
      </c>
      <c r="R95" s="39">
        <v>1</v>
      </c>
      <c r="S95" s="40">
        <v>1</v>
      </c>
      <c r="T95" s="52">
        <v>46104.265972222223</v>
      </c>
      <c r="U95" s="42" t="s">
        <v>63</v>
      </c>
      <c r="V95" s="42" t="s">
        <v>188</v>
      </c>
      <c r="AP95" s="39" t="s">
        <v>263</v>
      </c>
      <c r="AQ95" s="39">
        <v>231473</v>
      </c>
      <c r="AR95" s="39">
        <v>1</v>
      </c>
      <c r="AS95" s="39">
        <v>1</v>
      </c>
      <c r="AT95" s="41">
        <v>46101.568749999999</v>
      </c>
      <c r="AU95" s="42" t="s">
        <v>63</v>
      </c>
    </row>
    <row r="96" spans="1:47" ht="13.5" customHeight="1" x14ac:dyDescent="0.2">
      <c r="A96" s="20" t="s">
        <v>182</v>
      </c>
      <c r="B96" s="20"/>
      <c r="C96" s="20"/>
      <c r="D96" s="20"/>
      <c r="E96" s="21">
        <v>231474</v>
      </c>
      <c r="F96" s="22">
        <v>2</v>
      </c>
      <c r="G96" s="22">
        <v>1</v>
      </c>
      <c r="H96" s="23" t="s">
        <v>183</v>
      </c>
      <c r="I96" s="20" t="s">
        <v>45</v>
      </c>
      <c r="J96" s="20"/>
      <c r="P96" s="39" t="s">
        <v>264</v>
      </c>
      <c r="Q96" s="39">
        <v>231474</v>
      </c>
      <c r="R96" s="39">
        <v>2</v>
      </c>
      <c r="S96" s="40">
        <v>1</v>
      </c>
      <c r="T96" s="52">
        <v>46104.265972222223</v>
      </c>
      <c r="U96" s="42" t="s">
        <v>63</v>
      </c>
      <c r="V96" s="42" t="s">
        <v>188</v>
      </c>
      <c r="AP96" s="39" t="s">
        <v>264</v>
      </c>
      <c r="AQ96" s="39">
        <v>231474</v>
      </c>
      <c r="AR96" s="39">
        <v>2</v>
      </c>
      <c r="AS96" s="39">
        <v>1</v>
      </c>
      <c r="AT96" s="41">
        <v>46101.582638888889</v>
      </c>
      <c r="AU96" s="42" t="s">
        <v>63</v>
      </c>
    </row>
    <row r="97" spans="1:47" ht="13.5" customHeight="1" x14ac:dyDescent="0.2">
      <c r="A97" s="20" t="s">
        <v>184</v>
      </c>
      <c r="B97" s="20"/>
      <c r="C97" s="20"/>
      <c r="D97" s="20"/>
      <c r="E97" s="21">
        <v>231475</v>
      </c>
      <c r="F97" s="22">
        <v>1</v>
      </c>
      <c r="G97" s="22">
        <v>1</v>
      </c>
      <c r="H97" s="23" t="s">
        <v>185</v>
      </c>
      <c r="I97" s="20" t="s">
        <v>186</v>
      </c>
      <c r="J97" s="20"/>
      <c r="P97" s="39" t="s">
        <v>265</v>
      </c>
      <c r="Q97" s="39">
        <v>231475</v>
      </c>
      <c r="R97" s="39">
        <v>1</v>
      </c>
      <c r="S97" s="40">
        <v>1</v>
      </c>
      <c r="T97" s="52">
        <v>46104.267361111109</v>
      </c>
      <c r="U97" s="42" t="s">
        <v>63</v>
      </c>
      <c r="V97" s="42" t="s">
        <v>188</v>
      </c>
      <c r="AP97" s="39" t="s">
        <v>265</v>
      </c>
      <c r="AQ97" s="39">
        <v>231475</v>
      </c>
      <c r="AR97" s="39">
        <v>1</v>
      </c>
      <c r="AS97" s="39">
        <v>1</v>
      </c>
      <c r="AT97" s="41">
        <v>46101.556250000001</v>
      </c>
      <c r="AU97" s="42" t="s">
        <v>63</v>
      </c>
    </row>
    <row r="98" spans="1:47" ht="12" customHeight="1" x14ac:dyDescent="0.2"/>
    <row r="99" spans="1:47" ht="12.95" customHeight="1" x14ac:dyDescent="0.2"/>
    <row r="100" spans="1:47" ht="15" customHeight="1" x14ac:dyDescent="0.2">
      <c r="J100" s="24"/>
      <c r="K100" s="25"/>
      <c r="L100" s="25"/>
      <c r="M100" s="25"/>
      <c r="N100" s="25"/>
    </row>
  </sheetData>
  <sheetProtection sheet="1" objects="1" scenarios="1" selectLockedCells="1"/>
  <mergeCells count="185">
    <mergeCell ref="A97:D97"/>
    <mergeCell ref="I97:J97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69:D69"/>
    <mergeCell ref="I69:J69"/>
    <mergeCell ref="A71:D71"/>
    <mergeCell ref="I71:J71"/>
    <mergeCell ref="A72:D72"/>
    <mergeCell ref="I72:J72"/>
    <mergeCell ref="A65:D65"/>
    <mergeCell ref="I65:J65"/>
    <mergeCell ref="A66:D66"/>
    <mergeCell ref="I66:J66"/>
    <mergeCell ref="A67:D67"/>
    <mergeCell ref="I67:J67"/>
    <mergeCell ref="A62:D62"/>
    <mergeCell ref="I62:J62"/>
    <mergeCell ref="A63:D63"/>
    <mergeCell ref="I63:J63"/>
    <mergeCell ref="A64:D64"/>
    <mergeCell ref="I64:J64"/>
    <mergeCell ref="A59:D59"/>
    <mergeCell ref="I59:J59"/>
    <mergeCell ref="A60:D60"/>
    <mergeCell ref="I60:J60"/>
    <mergeCell ref="A61:D61"/>
    <mergeCell ref="I61:J61"/>
    <mergeCell ref="A56:D56"/>
    <mergeCell ref="I56:J56"/>
    <mergeCell ref="A57:D57"/>
    <mergeCell ref="I57:J57"/>
    <mergeCell ref="A58:D58"/>
    <mergeCell ref="I58:J58"/>
    <mergeCell ref="A53:D53"/>
    <mergeCell ref="I53:J53"/>
    <mergeCell ref="A54:D54"/>
    <mergeCell ref="I54:J54"/>
    <mergeCell ref="A55:D55"/>
    <mergeCell ref="I55:J55"/>
    <mergeCell ref="A50:D50"/>
    <mergeCell ref="I50:J50"/>
    <mergeCell ref="A51:D51"/>
    <mergeCell ref="I51:J51"/>
    <mergeCell ref="A52:D52"/>
    <mergeCell ref="I52:J52"/>
    <mergeCell ref="A47:D47"/>
    <mergeCell ref="I47:J47"/>
    <mergeCell ref="A48:D48"/>
    <mergeCell ref="I48:J48"/>
    <mergeCell ref="A49:D49"/>
    <mergeCell ref="I49:J49"/>
    <mergeCell ref="A44:D44"/>
    <mergeCell ref="I44:J44"/>
    <mergeCell ref="A45:D45"/>
    <mergeCell ref="I45:J45"/>
    <mergeCell ref="A46:D46"/>
    <mergeCell ref="I46:J46"/>
    <mergeCell ref="A41:D41"/>
    <mergeCell ref="I41:J41"/>
    <mergeCell ref="A42:D42"/>
    <mergeCell ref="I42:J42"/>
    <mergeCell ref="A43:D43"/>
    <mergeCell ref="I43:J43"/>
    <mergeCell ref="A38:D38"/>
    <mergeCell ref="I38:J38"/>
    <mergeCell ref="A39:D39"/>
    <mergeCell ref="I39:J39"/>
    <mergeCell ref="A40:D40"/>
    <mergeCell ref="I40:J40"/>
    <mergeCell ref="A35:D35"/>
    <mergeCell ref="I35:J35"/>
    <mergeCell ref="A36:D36"/>
    <mergeCell ref="I36:J36"/>
    <mergeCell ref="A37:D37"/>
    <mergeCell ref="I37:J37"/>
    <mergeCell ref="A32:D32"/>
    <mergeCell ref="I32:J32"/>
    <mergeCell ref="A33:D33"/>
    <mergeCell ref="I33:J33"/>
    <mergeCell ref="A34:D34"/>
    <mergeCell ref="I34:J34"/>
    <mergeCell ref="A29:D29"/>
    <mergeCell ref="I29:J29"/>
    <mergeCell ref="A30:D30"/>
    <mergeCell ref="I30:J30"/>
    <mergeCell ref="A31:D31"/>
    <mergeCell ref="I31:J31"/>
    <mergeCell ref="A26:D26"/>
    <mergeCell ref="I26:J26"/>
    <mergeCell ref="A27:D27"/>
    <mergeCell ref="I27:J27"/>
    <mergeCell ref="A28:D28"/>
    <mergeCell ref="I28:J28"/>
    <mergeCell ref="A23:D23"/>
    <mergeCell ref="I23:J23"/>
    <mergeCell ref="A24:D24"/>
    <mergeCell ref="I24:J24"/>
    <mergeCell ref="A25:D25"/>
    <mergeCell ref="I25:J25"/>
    <mergeCell ref="A20:D20"/>
    <mergeCell ref="I20:J20"/>
    <mergeCell ref="A21:D21"/>
    <mergeCell ref="I21:J21"/>
    <mergeCell ref="A22:D22"/>
    <mergeCell ref="I22:J22"/>
    <mergeCell ref="A17:D17"/>
    <mergeCell ref="I17:J17"/>
    <mergeCell ref="A18:D18"/>
    <mergeCell ref="I18:J18"/>
    <mergeCell ref="A19:D19"/>
    <mergeCell ref="I19:J19"/>
    <mergeCell ref="A14:D14"/>
    <mergeCell ref="I14:J14"/>
    <mergeCell ref="A15:D15"/>
    <mergeCell ref="I15:J15"/>
    <mergeCell ref="A16:D16"/>
    <mergeCell ref="I16:J16"/>
    <mergeCell ref="A10:D10"/>
    <mergeCell ref="I10:J10"/>
    <mergeCell ref="A11:D11"/>
    <mergeCell ref="I11:J11"/>
    <mergeCell ref="A13:D13"/>
    <mergeCell ref="I13:J13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7"/>
  <sheetViews>
    <sheetView workbookViewId="0"/>
  </sheetViews>
  <sheetFormatPr defaultRowHeight="12.75" x14ac:dyDescent="0.2"/>
  <sheetData>
    <row r="1" spans="1:6" x14ac:dyDescent="0.2">
      <c r="A1" t="s">
        <v>30</v>
      </c>
      <c r="B1" t="s">
        <v>31</v>
      </c>
      <c r="C1" t="s">
        <v>32</v>
      </c>
    </row>
    <row r="2" spans="1:6" x14ac:dyDescent="0.2">
      <c r="C2" s="1"/>
    </row>
    <row r="5" spans="1:6" x14ac:dyDescent="0.2">
      <c r="A5" t="s">
        <v>33</v>
      </c>
      <c r="B5" t="s">
        <v>34</v>
      </c>
      <c r="D5" t="s">
        <v>58</v>
      </c>
      <c r="E5" t="s">
        <v>59</v>
      </c>
      <c r="F5" t="s">
        <v>60</v>
      </c>
    </row>
    <row r="6" spans="1:6" x14ac:dyDescent="0.2">
      <c r="A6" t="s">
        <v>35</v>
      </c>
      <c r="B6" t="s">
        <v>56</v>
      </c>
      <c r="D6" t="s">
        <v>35</v>
      </c>
      <c r="E6" t="s">
        <v>61</v>
      </c>
      <c r="F6" s="1">
        <v>46101.553472222222</v>
      </c>
    </row>
    <row r="7" spans="1:6" x14ac:dyDescent="0.2">
      <c r="D7" t="s">
        <v>35</v>
      </c>
      <c r="E7" t="s">
        <v>267</v>
      </c>
      <c r="F7" s="1">
        <v>46104.609722222223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Utility Panel</vt:lpstr>
      <vt:lpstr>Delivery List</vt:lpstr>
      <vt:lpstr>Staging - Airport Rd</vt:lpstr>
      <vt:lpstr>Outbound - Airport Rd</vt:lpstr>
      <vt:lpstr>Inbound - Indian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Daniel McAbee</dc:creator>
  <dc:description>Powered by Crystal</dc:description>
  <cp:lastModifiedBy>Daniel McAbee</cp:lastModifiedBy>
  <cp:lastPrinted>2026-03-16T19:53:50Z</cp:lastPrinted>
  <dcterms:created xsi:type="dcterms:W3CDTF">2026-03-06T14:54:10Z</dcterms:created>
  <dcterms:modified xsi:type="dcterms:W3CDTF">2026-03-23T18:42:56Z</dcterms:modified>
</cp:coreProperties>
</file>