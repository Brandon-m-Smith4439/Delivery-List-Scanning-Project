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I:\BAREFOOT-INSTALL\Glass Production\Brandon\Lists for Sharepoint\March - 2026\"/>
    </mc:Choice>
  </mc:AlternateContent>
  <xr:revisionPtr revIDLastSave="0" documentId="8_{543718DF-000E-4F46-802B-472E365ABBDD}" xr6:coauthVersionLast="47" xr6:coauthVersionMax="47" xr10:uidLastSave="{00000000-0000-0000-0000-000000000000}"/>
  <bookViews>
    <workbookView xWindow="-28920" yWindow="-120" windowWidth="29040" windowHeight="15720" activeTab="4" xr2:uid="{00000000-000D-0000-FFFF-FFFF00000000}"/>
  </bookViews>
  <sheets>
    <sheet name="Utility Panel" sheetId="29" r:id="rId1"/>
    <sheet name="Delivery List" sheetId="1216" r:id="rId2"/>
    <sheet name="Staging - Airport Rd" sheetId="1232" r:id="rId3"/>
    <sheet name="Outbound - Airport Rd" sheetId="1233" r:id="rId4"/>
    <sheet name="Inbound - Indian Trail" sheetId="1234" r:id="rId5"/>
    <sheet name="__REMAKE_PRINT_TEMPLATE__" sheetId="858" state="veryHidden" r:id="rId6"/>
    <sheet name="__ChangeAudit" sheetId="10" state="veryHidden" r:id="rId7"/>
    <sheet name="__UPDATE_STATE__" sheetId="818" state="veryHidden" r:id="rId8"/>
  </sheets>
  <functionGroups builtInGroupCount="19"/>
  <definedNames>
    <definedName name="_DeliveryEditMode">FALSE</definedName>
    <definedName name="_LastScanHighlight_DELIVERY_LIST">58</definedName>
    <definedName name="_LastScanHighlight_INBOUND___GREENVILLE">121</definedName>
    <definedName name="_LastScanHighlight_INBOUND___INDIAN_TRAIL">58</definedName>
    <definedName name="_LastScanHighlight_OUTBOUND___AIRPORT_RD">58</definedName>
    <definedName name="_LastScanHighlight_STAGING___AIRPORT_RD">58</definedName>
    <definedName name="_ReceiveDestination">"Indian Trail"</definedName>
    <definedName name="CommentsWidthInit_Sheet1_28">TRUE</definedName>
    <definedName name="LastHighlightRow_Sheet1">49</definedName>
    <definedName name="LastHighlightRow_Sheet2">49</definedName>
    <definedName name="LastHighlightRow_Sheet3">53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O2" i="1234" l="1"/>
  <c r="X2" i="1234"/>
  <c r="O2" i="1234"/>
  <c r="AO2" i="1233"/>
  <c r="X2" i="1233"/>
  <c r="O2" i="1233"/>
  <c r="AO2" i="1232"/>
  <c r="X2" i="1232"/>
  <c r="O2" i="1232"/>
  <c r="AO2" i="1216"/>
  <c r="X2" i="1216"/>
  <c r="O2" i="1216"/>
</calcChain>
</file>

<file path=xl/sharedStrings.xml><?xml version="1.0" encoding="utf-8"?>
<sst xmlns="http://schemas.openxmlformats.org/spreadsheetml/2006/main" count="1310" uniqueCount="162">
  <si>
    <t>DELIVERY LIST FOR</t>
  </si>
  <si>
    <t>Job Nr.</t>
  </si>
  <si>
    <t>Order Nr.</t>
  </si>
  <si>
    <t>Item Nr.</t>
  </si>
  <si>
    <t>Qty.</t>
  </si>
  <si>
    <t>Dimensions</t>
  </si>
  <si>
    <t>Customer</t>
  </si>
  <si>
    <t>1/4" Mirror</t>
  </si>
  <si>
    <t>3/8" Clear Tempered</t>
  </si>
  <si>
    <t>Most Recent Scan:</t>
  </si>
  <si>
    <t>Barcode</t>
  </si>
  <si>
    <t>Qty Scanned</t>
  </si>
  <si>
    <t>Date &amp; Time Scanned</t>
  </si>
  <si>
    <t>Check</t>
  </si>
  <si>
    <t>Delivery Timing</t>
  </si>
  <si>
    <t>Comments</t>
  </si>
  <si>
    <t>Bay Nr.</t>
  </si>
  <si>
    <t>CurrentChangeKey</t>
  </si>
  <si>
    <t>ChangedBy</t>
  </si>
  <si>
    <t>ChangedAt</t>
  </si>
  <si>
    <t>User</t>
  </si>
  <si>
    <t>SeenChangeKey</t>
  </si>
  <si>
    <t>daniel.mcabee</t>
  </si>
  <si>
    <t>Actions</t>
  </si>
  <si>
    <t>Navigation</t>
  </si>
  <si>
    <t>Utility Panel</t>
  </si>
  <si>
    <t>Outbound - Airport Rd</t>
  </si>
  <si>
    <t>Staging - Airport Rd</t>
  </si>
  <si>
    <t>Inbound - Indian Trail</t>
  </si>
  <si>
    <t>Use the buttons below to import a new delivery list, update an existing list, save a SharePoint copy, sync scanner sheets, and jump directly to the working tabs.</t>
  </si>
  <si>
    <t>PopupUser</t>
  </si>
  <si>
    <t>PopupNoticeKey</t>
  </si>
  <si>
    <t>SeenAt</t>
  </si>
  <si>
    <t>EDIT_MODE_WARNING_V1</t>
  </si>
  <si>
    <t>Route</t>
  </si>
  <si>
    <t>UPDATE_COMPLETE_NOTICE_V1</t>
  </si>
  <si>
    <t>TRUE HOMES LLC  ****</t>
  </si>
  <si>
    <t>BOURGEOIS BUILDERS INC DBA</t>
  </si>
  <si>
    <t>38" x 42"</t>
  </si>
  <si>
    <t>47" x 42"</t>
  </si>
  <si>
    <t>14 7/8" x 61 1/2"</t>
  </si>
  <si>
    <t>29" x 36"</t>
  </si>
  <si>
    <t>DR HORTON</t>
  </si>
  <si>
    <t>22" x 36"</t>
  </si>
  <si>
    <t>60" x 36"</t>
  </si>
  <si>
    <t>TAYLOR MORRIS BF AFTERPAINT</t>
  </si>
  <si>
    <t>79 1/2" x 28"</t>
  </si>
  <si>
    <t>RowKey</t>
  </si>
  <si>
    <t xml:space="preserve">                 REMAKES DUE: 3/26/2026</t>
  </si>
  <si>
    <t>Order</t>
  </si>
  <si>
    <t>Item</t>
  </si>
  <si>
    <t>Check Off</t>
  </si>
  <si>
    <t>Process State</t>
  </si>
  <si>
    <t>20260326_095341</t>
  </si>
  <si>
    <t>RM</t>
  </si>
  <si>
    <t>1/2" Clear Tempered Shower</t>
  </si>
  <si>
    <t>34" x 48"</t>
  </si>
  <si>
    <t>52" x 42"</t>
  </si>
  <si>
    <t>81" x 42"</t>
  </si>
  <si>
    <t>65" x 42"</t>
  </si>
  <si>
    <t>LENNAR HOMES</t>
  </si>
  <si>
    <t>TRI POINTE HMS INC</t>
  </si>
  <si>
    <t>46" x 42"</t>
  </si>
  <si>
    <t>75" x 42"</t>
  </si>
  <si>
    <t>Date &amp; Time</t>
  </si>
  <si>
    <t xml:space="preserve"> 3/30/2026
</t>
  </si>
  <si>
    <t>86954988.2 LAKESIDE 204</t>
  </si>
  <si>
    <t>19 31/32" x 80"</t>
  </si>
  <si>
    <t>BEECHWOOD NCGC LLC</t>
  </si>
  <si>
    <t>87020157 1536 STEEL</t>
  </si>
  <si>
    <t>7" x 106 3/8"</t>
  </si>
  <si>
    <t>THE CRAFTSMAN GRP ****</t>
  </si>
  <si>
    <t>86954988M LAKESIDE POINTE 204</t>
  </si>
  <si>
    <t>68" x 42"</t>
  </si>
  <si>
    <t>88" x 42"</t>
  </si>
  <si>
    <t>86866685M.2 255 CHEROKEE</t>
  </si>
  <si>
    <t>87003159M 19040 NEWBURG</t>
  </si>
  <si>
    <t>36" x 48"</t>
  </si>
  <si>
    <t>LINNANE CONSTRUCTION</t>
  </si>
  <si>
    <t>48" x 48"</t>
  </si>
  <si>
    <t>85456524M OAK GROVE 68</t>
  </si>
  <si>
    <t>85457441M LAURELBROOK 780</t>
  </si>
  <si>
    <t>85676701M VINES CHASE 190</t>
  </si>
  <si>
    <t>58" x 42"</t>
  </si>
  <si>
    <t>85676868M VINES CHASE 189</t>
  </si>
  <si>
    <t>67" x 42"</t>
  </si>
  <si>
    <t>85739245M FALLS COVE 1128</t>
  </si>
  <si>
    <t>85893768M ELLIS TOWNES 70</t>
  </si>
  <si>
    <t>60" x 42"</t>
  </si>
  <si>
    <t>86002314M REDHAWK GLEN 302</t>
  </si>
  <si>
    <t>86023157M LAKESIDE GLEN 122</t>
  </si>
  <si>
    <t>80" x 42"</t>
  </si>
  <si>
    <t>DAN RYAN BUILDERS</t>
  </si>
  <si>
    <t>86036965M MILLER FARM 162</t>
  </si>
  <si>
    <t>86139553M SHANNON WOODS 344</t>
  </si>
  <si>
    <t>86139779M SHANNON WOODS 585</t>
  </si>
  <si>
    <t>86142779M RIVER RIDGE 54</t>
  </si>
  <si>
    <t>61" x 36"</t>
  </si>
  <si>
    <t>86142829M RIVER RIDGE 55</t>
  </si>
  <si>
    <t>86151839M STANTON 36</t>
  </si>
  <si>
    <t>86157525M THE GLENNS 125</t>
  </si>
  <si>
    <t>86238565M RIVER DISTRICT 78</t>
  </si>
  <si>
    <t>26" x 42"</t>
  </si>
  <si>
    <t>56" x 42"</t>
  </si>
  <si>
    <t>86272227M WESTFALL 20</t>
  </si>
  <si>
    <t>42" x 54"</t>
  </si>
  <si>
    <t>MATTAMY HOMES</t>
  </si>
  <si>
    <t>70" x 54"</t>
  </si>
  <si>
    <t>86272264M WESTFALL 22</t>
  </si>
  <si>
    <t>70" x 48"</t>
  </si>
  <si>
    <t>34" x 54"</t>
  </si>
  <si>
    <t>58" x 48"</t>
  </si>
  <si>
    <t>86377990M RIVER DISTRICT 77</t>
  </si>
  <si>
    <t>85895592M.2 208 SILVER</t>
  </si>
  <si>
    <t>94" x 40"</t>
  </si>
  <si>
    <t>85925835M.2 WAXHAW 56</t>
  </si>
  <si>
    <t>85981238M.2 336 LAURA</t>
  </si>
  <si>
    <t>85981257M.2 324 LAURA</t>
  </si>
  <si>
    <t>85981283M.2 344 LAURA</t>
  </si>
  <si>
    <t>65" x 48"</t>
  </si>
  <si>
    <t>85981305M.2 328 LAURA</t>
  </si>
  <si>
    <t>85981315M.2 340 LAURA</t>
  </si>
  <si>
    <t>86005056M.2 BAKERS CREEK 60</t>
  </si>
  <si>
    <t>63" x 36"</t>
  </si>
  <si>
    <t>86997390M WESTFALL 18</t>
  </si>
  <si>
    <t>87000002M EDMUNDS FARM 58</t>
  </si>
  <si>
    <t>KNOTTS BUILDERS</t>
  </si>
  <si>
    <t>86543364 SERENITY WOODS 12</t>
  </si>
  <si>
    <t>28" x 79 1/2"</t>
  </si>
  <si>
    <t>40 1/8" x 80"</t>
  </si>
  <si>
    <t>42 5/8" x 45 3/16"</t>
  </si>
  <si>
    <t>86709700 428 WINDY COVE</t>
  </si>
  <si>
    <t>22 15/16" x 77"</t>
  </si>
  <si>
    <t>A Vision 2</t>
  </si>
  <si>
    <t>37" x 40 7/16"</t>
  </si>
  <si>
    <t>86709700.2 428 WINDY COVE</t>
  </si>
  <si>
    <t>23" x 81 1/2"</t>
  </si>
  <si>
    <t>34 7/16" x 45 3/16"</t>
  </si>
  <si>
    <t>86769448 HERITAGE 21</t>
  </si>
  <si>
    <t>32 5/16" x 42"</t>
  </si>
  <si>
    <t>JCH CONSTRUCTION LLC *</t>
  </si>
  <si>
    <t>27 5/16" x 78 1/8"</t>
  </si>
  <si>
    <t>42" x 32 1/4"</t>
  </si>
  <si>
    <t>86769448.2 HERITAGE 21</t>
  </si>
  <si>
    <t>35 15/16" x 80"</t>
  </si>
  <si>
    <t>86817434 3411 LAKESIDE</t>
  </si>
  <si>
    <t>29 7/16" x 80"</t>
  </si>
  <si>
    <t>CLASSICA HOMES</t>
  </si>
  <si>
    <t>79 1/2" x 28 1/4"</t>
  </si>
  <si>
    <t>86817434.2 3411 LAKESIDE</t>
  </si>
  <si>
    <t>80" x 29 5/8"</t>
  </si>
  <si>
    <t>86954988 LAKESIDE 204</t>
  </si>
  <si>
    <t>58 1/16" x 80"</t>
  </si>
  <si>
    <t>37" x 65 1/4"</t>
  </si>
  <si>
    <t>33 3/4" x 80"</t>
  </si>
  <si>
    <t>86463565.2R 1002 SUDBURY</t>
  </si>
  <si>
    <t>10 7/16" x 79 1/2"</t>
  </si>
  <si>
    <t>Justin Carpenter</t>
  </si>
  <si>
    <t>90 deg Mock Up</t>
  </si>
  <si>
    <t>11 9/16" x 20"</t>
  </si>
  <si>
    <t>Test</t>
  </si>
  <si>
    <t>12" x 20"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</si>
</sst>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#;#"/>
    <numFmt numFmtId="165" formatCode="m/d/yyyy\ h:mm\ AM/PM"/>
    <numFmt numFmtId="166" formatCode="h\.mm\ "/>
  </numFmts>
  <fonts count="22" x14ac:knownFonts="1">
    <font>
      <sz val="10"/>
      <color rgb="FF000000"/>
      <name val="ARIAL"/>
      <charset val="1"/>
    </font>
    <font>
      <b/>
      <sz val="20"/>
      <color rgb="FF000000"/>
      <name val="Arial"/>
      <family val="16"/>
      <charset val="1"/>
    </font>
    <font>
      <b/>
      <sz val="10"/>
      <color rgb="FF000000"/>
      <name val="Arial"/>
      <family val="16"/>
      <charset val="1"/>
    </font>
    <font>
      <sz val="8"/>
      <color rgb="FF000000"/>
      <name val="ARIAL"/>
      <family val="16"/>
      <charset val="1"/>
    </font>
    <font>
      <sz val="10"/>
      <color rgb="FF000000"/>
      <name val="Arial"/>
      <family val="2"/>
    </font>
    <font>
      <b/>
      <sz val="10"/>
      <color rgb="FF000000"/>
      <name val="ARIAL"/>
      <family val="2"/>
    </font>
    <font>
      <b/>
      <sz val="18"/>
      <color rgb="FF000000"/>
      <name val="ARIAL"/>
      <family val="2"/>
    </font>
    <font>
      <b/>
      <sz val="10"/>
      <color rgb="FF006100"/>
      <name val="Arial"/>
      <family val="2"/>
    </font>
    <font>
      <b/>
      <u/>
      <sz val="10"/>
      <color rgb="FF000000"/>
      <name val="ARIAL"/>
      <family val="2"/>
    </font>
    <font>
      <sz val="10"/>
      <color rgb="FF000000"/>
      <name val="ARIAL"/>
      <family val="16"/>
      <charset val="1"/>
    </font>
    <font>
      <b/>
      <sz val="20"/>
      <color rgb="FF000000"/>
      <name val="Calibri"/>
      <family val="2"/>
    </font>
    <font>
      <sz val="11"/>
      <color rgb="FF000000"/>
      <name val="Calibri"/>
      <family val="2"/>
    </font>
    <font>
      <b/>
      <sz val="12"/>
      <color rgb="FF000000"/>
      <name val="ARIAL"/>
      <family val="2"/>
    </font>
    <font>
      <b/>
      <sz val="36"/>
      <color rgb="FF000000"/>
      <name val="Arial"/>
      <family val="16"/>
      <charset val="1"/>
    </font>
    <font>
      <b/>
      <sz val="14"/>
      <color rgb="FF000000"/>
      <name val="Arial"/>
      <family val="16"/>
      <charset val="1"/>
    </font>
    <font>
      <sz val="12"/>
      <color rgb="FF000000"/>
      <name val="Arial"/>
      <family val="2"/>
    </font>
    <font>
      <sz val="12"/>
      <color theme="1"/>
      <name val="Arial"/>
      <family val="2"/>
    </font>
    <font>
      <sz val="10"/>
      <name val="ARIAL"/>
      <family val="2"/>
    </font>
    <font>
      <b/>
      <sz val="12"/>
      <color rgb="FFFFFFFF"/>
      <name val="ARIAL"/>
      <family val="2"/>
    </font>
    <font>
      <b/>
      <sz val="8"/>
      <color rgb="FF800000"/>
      <name val="ARIAL"/>
      <family val="2"/>
    </font>
    <font>
      <b/>
      <sz val="10"/>
      <color rgb="FFFFFFFF"/>
      <name val="ARIAL"/>
      <family val="2"/>
    </font>
    <font>
      <b/>
      <sz val="10"/>
      <color rgb="FF800000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rgb="FFC6EFC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007BA7"/>
        <bgColor indexed="64"/>
      </patternFill>
    </fill>
    <fill>
      <patternFill patternType="solid">
        <fgColor rgb="FF28A745"/>
        <bgColor indexed="64"/>
      </patternFill>
    </fill>
    <fill>
      <patternFill patternType="solid">
        <fgColor rgb="FF6C757D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C00000"/>
        <bgColor indexed="64"/>
      </patternFill>
    </fill>
  </fills>
  <borders count="17">
    <border>
      <left/>
      <right/>
      <top/>
      <bottom/>
      <diagonal/>
    </border>
    <border>
      <left style="thick">
        <color rgb="FF000000"/>
      </left>
      <right/>
      <top/>
      <bottom/>
      <diagonal/>
    </border>
    <border>
      <left style="thin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ck">
        <color rgb="FF000000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rgb="FFC00000"/>
      </left>
      <right style="thin">
        <color rgb="FFC00000"/>
      </right>
      <top style="thin">
        <color rgb="FFC00000"/>
      </top>
      <bottom style="thin">
        <color rgb="FFC00000"/>
      </bottom>
      <diagonal/>
    </border>
    <border>
      <left style="thin">
        <color rgb="FF800000"/>
      </left>
      <right style="thin">
        <color rgb="FF800000"/>
      </right>
      <top style="thin">
        <color rgb="FF800000"/>
      </top>
      <bottom style="thin">
        <color rgb="FF800000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C00000"/>
      </bottom>
      <diagonal/>
    </border>
    <border>
      <left style="thick">
        <color rgb="FFC00000"/>
      </left>
      <right/>
      <top style="thin">
        <color rgb="FFC00000"/>
      </top>
      <bottom style="thin">
        <color rgb="FFC00000"/>
      </bottom>
      <diagonal/>
    </border>
    <border>
      <left/>
      <right/>
      <top style="thin">
        <color rgb="FFC00000"/>
      </top>
      <bottom style="thin">
        <color rgb="FFC00000"/>
      </bottom>
      <diagonal/>
    </border>
    <border>
      <left/>
      <right style="thin">
        <color rgb="FFC00000"/>
      </right>
      <top style="thin">
        <color rgb="FFC00000"/>
      </top>
      <bottom style="thin">
        <color rgb="FFC00000"/>
      </bottom>
      <diagonal/>
    </border>
    <border>
      <left style="thin">
        <color rgb="FFC00000"/>
      </left>
      <right/>
      <top style="thin">
        <color rgb="FFC00000"/>
      </top>
      <bottom style="thin">
        <color rgb="FFC00000"/>
      </bottom>
      <diagonal/>
    </border>
    <border>
      <left/>
      <right/>
      <top style="thin">
        <color rgb="FFC00000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4" fillId="0" borderId="0"/>
  </cellStyleXfs>
  <cellXfs count="75">
    <xf numFmtId="0" fontId="0" fillId="0" borderId="0" xfId="0"/>
    <xf numFmtId="22" fontId="0" fillId="0" borderId="0" xfId="0" applyNumberFormat="1"/>
    <xf numFmtId="0" fontId="2" fillId="0" borderId="0" xfId="0" applyFont="1" applyAlignment="1">
      <alignment horizontal="center" vertical="top" wrapText="1"/>
    </xf>
    <xf numFmtId="0" fontId="0" fillId="0" borderId="0" xfId="0" applyAlignment="1">
      <alignment horizontal="center" vertical="center"/>
    </xf>
    <xf numFmtId="0" fontId="13" fillId="0" borderId="0" xfId="0" applyFont="1" applyAlignment="1">
      <alignment horizontal="center" vertical="center" wrapText="1"/>
    </xf>
    <xf numFmtId="0" fontId="14" fillId="0" borderId="3" xfId="0" applyFont="1" applyBorder="1" applyAlignment="1">
      <alignment horizontal="left" vertical="top" wrapText="1"/>
    </xf>
    <xf numFmtId="0" fontId="14" fillId="0" borderId="0" xfId="0" applyFont="1" applyAlignment="1">
      <alignment horizontal="left" vertical="top" wrapText="1"/>
    </xf>
    <xf numFmtId="0" fontId="14" fillId="0" borderId="3" xfId="0" applyFont="1" applyBorder="1" applyAlignment="1">
      <alignment horizontal="center" vertical="center" wrapText="1"/>
    </xf>
    <xf numFmtId="0" fontId="14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14" fillId="0" borderId="3" xfId="0" applyFont="1" applyBorder="1" applyAlignment="1">
      <alignment horizontal="left" vertical="center"/>
    </xf>
    <xf numFmtId="0" fontId="14" fillId="0" borderId="0" xfId="0" applyFont="1" applyAlignment="1">
      <alignment horizontal="left" vertical="top"/>
    </xf>
    <xf numFmtId="0" fontId="14" fillId="0" borderId="0" xfId="0" applyFont="1" applyAlignment="1">
      <alignment horizontal="left" vertical="center"/>
    </xf>
    <xf numFmtId="0" fontId="15" fillId="0" borderId="2" xfId="0" applyFont="1" applyBorder="1" applyAlignment="1">
      <alignment horizontal="left" vertical="center"/>
    </xf>
    <xf numFmtId="0" fontId="16" fillId="0" borderId="2" xfId="0" applyFont="1" applyBorder="1" applyAlignment="1">
      <alignment horizontal="center" vertical="center"/>
    </xf>
    <xf numFmtId="0" fontId="16" fillId="0" borderId="0" xfId="0" applyFont="1" applyAlignment="1">
      <alignment horizontal="left"/>
    </xf>
    <xf numFmtId="0" fontId="16" fillId="0" borderId="2" xfId="0" applyFont="1" applyBorder="1" applyAlignment="1">
      <alignment horizontal="center"/>
    </xf>
    <xf numFmtId="0" fontId="16" fillId="0" borderId="0" xfId="0" applyFont="1" applyAlignment="1">
      <alignment horizontal="center"/>
    </xf>
    <xf numFmtId="0" fontId="13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Protection="1">
      <protection locked="0"/>
    </xf>
    <xf numFmtId="0" fontId="0" fillId="0" borderId="0" xfId="0" applyProtection="1"/>
    <xf numFmtId="0" fontId="10" fillId="3" borderId="8" xfId="0" applyFont="1" applyFill="1" applyBorder="1" applyAlignment="1" applyProtection="1">
      <alignment horizontal="center" vertical="center"/>
    </xf>
    <xf numFmtId="0" fontId="11" fillId="4" borderId="8" xfId="0" applyFont="1" applyFill="1" applyBorder="1" applyAlignment="1" applyProtection="1">
      <alignment horizontal="center" vertical="center" wrapText="1"/>
    </xf>
    <xf numFmtId="0" fontId="12" fillId="3" borderId="8" xfId="0" applyFont="1" applyFill="1" applyBorder="1" applyAlignment="1" applyProtection="1">
      <alignment horizontal="center" vertical="center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165" fontId="0" fillId="0" borderId="0" xfId="0" applyNumberFormat="1" applyAlignment="1" applyProtection="1">
      <alignment horizontal="center" vertical="center"/>
      <protection locked="0"/>
    </xf>
    <xf numFmtId="0" fontId="5" fillId="0" borderId="1" xfId="0" applyFont="1" applyBorder="1" applyAlignment="1" applyProtection="1">
      <alignment horizontal="right" vertical="center"/>
      <protection locked="0"/>
    </xf>
    <xf numFmtId="0" fontId="7" fillId="2" borderId="8" xfId="0" applyFont="1" applyFill="1" applyBorder="1" applyAlignment="1" applyProtection="1">
      <alignment horizontal="center" vertical="center"/>
      <protection locked="0"/>
    </xf>
    <xf numFmtId="0" fontId="8" fillId="0" borderId="0" xfId="0" applyFont="1" applyAlignment="1" applyProtection="1">
      <alignment horizontal="center" vertical="center"/>
      <protection locked="0"/>
    </xf>
    <xf numFmtId="165" fontId="8" fillId="0" borderId="0" xfId="0" applyNumberFormat="1" applyFont="1" applyAlignment="1" applyProtection="1">
      <alignment horizontal="center" vertical="center"/>
      <protection locked="0"/>
    </xf>
    <xf numFmtId="0" fontId="1" fillId="0" borderId="0" xfId="0" applyFont="1" applyAlignment="1" applyProtection="1">
      <alignment horizontal="center" vertical="top" wrapText="1"/>
    </xf>
    <xf numFmtId="0" fontId="1" fillId="0" borderId="0" xfId="0" applyFont="1" applyAlignment="1" applyProtection="1">
      <alignment horizontal="left" vertical="top" wrapText="1"/>
    </xf>
    <xf numFmtId="0" fontId="2" fillId="0" borderId="0" xfId="0" applyFont="1" applyAlignment="1" applyProtection="1">
      <alignment horizontal="left" vertical="top" wrapText="1"/>
    </xf>
    <xf numFmtId="0" fontId="2" fillId="0" borderId="0" xfId="0" applyFont="1" applyAlignment="1" applyProtection="1">
      <alignment horizontal="left" vertical="top" wrapText="1"/>
    </xf>
    <xf numFmtId="0" fontId="2" fillId="0" borderId="0" xfId="0" applyFont="1" applyAlignment="1" applyProtection="1">
      <alignment horizontal="center" vertical="top" wrapText="1"/>
    </xf>
    <xf numFmtId="0" fontId="5" fillId="0" borderId="0" xfId="0" applyFont="1" applyAlignment="1" applyProtection="1">
      <alignment horizontal="left" vertical="center"/>
    </xf>
    <xf numFmtId="0" fontId="5" fillId="0" borderId="0" xfId="0" applyFont="1" applyAlignment="1" applyProtection="1">
      <alignment horizontal="left" vertical="center" wrapText="1"/>
    </xf>
    <xf numFmtId="0" fontId="2" fillId="0" borderId="0" xfId="0" applyFont="1" applyAlignment="1" applyProtection="1">
      <alignment horizontal="left" vertical="center"/>
    </xf>
    <xf numFmtId="0" fontId="0" fillId="0" borderId="0" xfId="0" applyAlignment="1" applyProtection="1">
      <alignment horizontal="left" vertical="center"/>
    </xf>
    <xf numFmtId="0" fontId="3" fillId="0" borderId="0" xfId="0" applyFont="1" applyAlignment="1" applyProtection="1">
      <alignment horizontal="left" vertical="center"/>
    </xf>
    <xf numFmtId="164" fontId="3" fillId="0" borderId="0" xfId="0" applyNumberFormat="1" applyFont="1" applyAlignment="1" applyProtection="1">
      <alignment horizontal="left" vertical="top"/>
    </xf>
    <xf numFmtId="164" fontId="3" fillId="0" borderId="0" xfId="0" applyNumberFormat="1" applyFont="1" applyAlignment="1" applyProtection="1">
      <alignment horizontal="center" vertical="top"/>
    </xf>
    <xf numFmtId="0" fontId="3" fillId="0" borderId="0" xfId="0" applyFont="1" applyAlignment="1" applyProtection="1">
      <alignment horizontal="left" vertical="top"/>
    </xf>
    <xf numFmtId="49" fontId="17" fillId="0" borderId="0" xfId="0" applyNumberFormat="1" applyFont="1" applyFill="1" applyBorder="1" applyAlignment="1" applyProtection="1">
      <alignment horizontal="center" vertical="center"/>
    </xf>
    <xf numFmtId="14" fontId="9" fillId="0" borderId="0" xfId="0" applyNumberFormat="1" applyFont="1" applyAlignment="1" applyProtection="1">
      <alignment horizontal="right" vertical="top"/>
    </xf>
    <xf numFmtId="166" fontId="9" fillId="0" borderId="0" xfId="0" applyNumberFormat="1" applyFont="1" applyAlignment="1" applyProtection="1">
      <alignment horizontal="right" vertical="top"/>
    </xf>
    <xf numFmtId="0" fontId="0" fillId="0" borderId="1" xfId="0" applyBorder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165" fontId="0" fillId="0" borderId="0" xfId="0" applyNumberFormat="1" applyAlignment="1" applyProtection="1">
      <alignment horizontal="center" vertical="center"/>
    </xf>
    <xf numFmtId="0" fontId="5" fillId="0" borderId="1" xfId="0" applyFont="1" applyBorder="1" applyAlignment="1" applyProtection="1">
      <alignment horizontal="right" vertical="center"/>
    </xf>
    <xf numFmtId="0" fontId="7" fillId="2" borderId="8" xfId="0" applyFont="1" applyFill="1" applyBorder="1" applyAlignment="1" applyProtection="1">
      <alignment horizontal="center" vertical="center"/>
    </xf>
    <xf numFmtId="0" fontId="8" fillId="0" borderId="0" xfId="0" applyFont="1" applyAlignment="1" applyProtection="1">
      <alignment horizontal="center" vertical="center"/>
    </xf>
    <xf numFmtId="165" fontId="8" fillId="0" borderId="0" xfId="0" applyNumberFormat="1" applyFont="1" applyAlignment="1" applyProtection="1">
      <alignment horizontal="center" vertical="center"/>
    </xf>
    <xf numFmtId="0" fontId="17" fillId="0" borderId="0" xfId="0" applyFont="1" applyFill="1" applyBorder="1" applyAlignment="1" applyProtection="1">
      <alignment horizontal="left" vertical="center"/>
    </xf>
    <xf numFmtId="164" fontId="19" fillId="8" borderId="6" xfId="0" applyNumberFormat="1" applyFont="1" applyFill="1" applyBorder="1" applyAlignment="1" applyProtection="1">
      <alignment horizontal="left" vertical="top"/>
    </xf>
    <xf numFmtId="164" fontId="19" fillId="8" borderId="6" xfId="0" applyNumberFormat="1" applyFont="1" applyFill="1" applyBorder="1" applyAlignment="1" applyProtection="1">
      <alignment horizontal="center" vertical="top"/>
    </xf>
    <xf numFmtId="0" fontId="19" fillId="8" borderId="6" xfId="0" applyFont="1" applyFill="1" applyBorder="1" applyAlignment="1" applyProtection="1">
      <alignment horizontal="left" vertical="top"/>
    </xf>
    <xf numFmtId="0" fontId="21" fillId="8" borderId="6" xfId="0" applyFont="1" applyFill="1" applyBorder="1" applyAlignment="1" applyProtection="1">
      <alignment horizontal="left" vertical="center"/>
    </xf>
    <xf numFmtId="0" fontId="20" fillId="9" borderId="7" xfId="0" applyFont="1" applyFill="1" applyBorder="1" applyAlignment="1" applyProtection="1">
      <alignment horizontal="center" vertical="center"/>
    </xf>
    <xf numFmtId="0" fontId="3" fillId="0" borderId="9" xfId="0" applyFont="1" applyBorder="1" applyAlignment="1" applyProtection="1">
      <alignment horizontal="left" vertical="center"/>
    </xf>
    <xf numFmtId="0" fontId="19" fillId="8" borderId="10" xfId="0" applyFont="1" applyFill="1" applyBorder="1" applyAlignment="1" applyProtection="1">
      <alignment horizontal="left" vertical="center"/>
    </xf>
    <xf numFmtId="0" fontId="19" fillId="8" borderId="11" xfId="0" applyFont="1" applyFill="1" applyBorder="1" applyAlignment="1" applyProtection="1">
      <alignment horizontal="left" vertical="center"/>
    </xf>
    <xf numFmtId="0" fontId="19" fillId="8" borderId="12" xfId="0" applyFont="1" applyFill="1" applyBorder="1" applyAlignment="1" applyProtection="1">
      <alignment horizontal="left" vertical="center"/>
    </xf>
    <xf numFmtId="0" fontId="19" fillId="8" borderId="13" xfId="0" applyFont="1" applyFill="1" applyBorder="1" applyAlignment="1" applyProtection="1">
      <alignment horizontal="left" vertical="center"/>
    </xf>
    <xf numFmtId="0" fontId="2" fillId="0" borderId="14" xfId="0" applyFont="1" applyBorder="1" applyAlignment="1" applyProtection="1">
      <alignment horizontal="left" vertical="center"/>
    </xf>
    <xf numFmtId="0" fontId="0" fillId="0" borderId="14" xfId="0" applyBorder="1" applyAlignment="1" applyProtection="1">
      <alignment horizontal="left" vertical="center"/>
    </xf>
    <xf numFmtId="0" fontId="6" fillId="0" borderId="4" xfId="0" applyFont="1" applyBorder="1" applyAlignment="1" applyProtection="1">
      <alignment horizontal="center" vertical="center"/>
    </xf>
    <xf numFmtId="0" fontId="6" fillId="0" borderId="5" xfId="0" applyFont="1" applyBorder="1" applyAlignment="1" applyProtection="1">
      <alignment horizontal="center" vertical="center"/>
    </xf>
    <xf numFmtId="0" fontId="18" fillId="5" borderId="15" xfId="0" applyFont="1" applyFill="1" applyBorder="1" applyAlignment="1" applyProtection="1">
      <alignment horizontal="center" vertical="center"/>
    </xf>
    <xf numFmtId="0" fontId="18" fillId="6" borderId="16" xfId="0" applyFont="1" applyFill="1" applyBorder="1" applyAlignment="1" applyProtection="1">
      <alignment horizontal="center" vertical="center"/>
    </xf>
    <xf numFmtId="0" fontId="18" fillId="7" borderId="16" xfId="0" applyFont="1" applyFill="1" applyBorder="1" applyAlignment="1" applyProtection="1">
      <alignment horizontal="center" vertical="center"/>
    </xf>
    <xf numFmtId="0" fontId="6" fillId="0" borderId="4" xfId="0" applyFont="1" applyBorder="1" applyAlignment="1" applyProtection="1">
      <alignment horizontal="center" vertical="center"/>
      <protection locked="0"/>
    </xf>
    <xf numFmtId="0" fontId="6" fillId="0" borderId="5" xfId="0" applyFont="1" applyBorder="1" applyAlignment="1" applyProtection="1">
      <alignment horizontal="center" vertical="center"/>
      <protection locked="0"/>
    </xf>
  </cellXfs>
  <cellStyles count="2">
    <cellStyle name="Normal" xfId="0" builtinId="0"/>
    <cellStyle name="Normal 2" xfId="1" xr:uid="{0607A8A7-426B-4023-AB29-32F8FF376C86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565150</xdr:colOff>
      <xdr:row>9</xdr:row>
      <xdr:rowOff>120650</xdr:rowOff>
    </xdr:from>
    <xdr:to>
      <xdr:col>10</xdr:col>
      <xdr:colOff>415925</xdr:colOff>
      <xdr:row>11</xdr:row>
      <xdr:rowOff>31750</xdr:rowOff>
    </xdr:to>
    <xdr:sp macro="[0]!ImportNewDeliveryList" textlink="">
      <xdr:nvSpPr>
        <xdr:cNvPr id="2907" name="btnHomeImport">
          <a:extLst>
            <a:ext uri="{FF2B5EF4-FFF2-40B4-BE49-F238E27FC236}">
              <a16:creationId xmlns:a16="http://schemas.microsoft.com/office/drawing/2014/main" id="{11B3E219-E757-4052-1153-B4E045F74390}"/>
            </a:ext>
          </a:extLst>
        </xdr:cNvPr>
        <xdr:cNvSpPr/>
      </xdr:nvSpPr>
      <xdr:spPr>
        <a:xfrm>
          <a:off x="4899025" y="3397250"/>
          <a:ext cx="2794000" cy="444500"/>
        </a:xfrm>
        <a:prstGeom prst="roundRect">
          <a:avLst/>
        </a:prstGeom>
        <a:solidFill>
          <a:srgbClr val="3498DB"/>
        </a:solidFill>
        <a:ln w="19050" cap="flat" cmpd="sng" algn="ctr">
          <a:noFill/>
          <a:prstDash val="solid"/>
          <a:miter lim="800000"/>
        </a:ln>
        <a:effectLst>
          <a:outerShdw blurRad="63500" dist="26941" dir="2700000" rotWithShape="0">
            <a:srgbClr val="A0A0A0">
              <a:alpha val="5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Calibri" panose="020F0502020204030204" pitchFamily="34" charset="0"/>
            </a:rPr>
            <a:t>Import New Delivery List</a:t>
          </a:r>
        </a:p>
      </xdr:txBody>
    </xdr:sp>
    <xdr:clientData fLocksWithSheet="0"/>
  </xdr:twoCellAnchor>
  <xdr:twoCellAnchor editAs="absolute">
    <xdr:from>
      <xdr:col>7</xdr:col>
      <xdr:colOff>565150</xdr:colOff>
      <xdr:row>11</xdr:row>
      <xdr:rowOff>120650</xdr:rowOff>
    </xdr:from>
    <xdr:to>
      <xdr:col>10</xdr:col>
      <xdr:colOff>415925</xdr:colOff>
      <xdr:row>13</xdr:row>
      <xdr:rowOff>31750</xdr:rowOff>
    </xdr:to>
    <xdr:sp macro="[0]!UpdateExistingDeliveryList" textlink="">
      <xdr:nvSpPr>
        <xdr:cNvPr id="2908" name="btnHomeUpdate">
          <a:extLst>
            <a:ext uri="{FF2B5EF4-FFF2-40B4-BE49-F238E27FC236}">
              <a16:creationId xmlns:a16="http://schemas.microsoft.com/office/drawing/2014/main" id="{BC51EF8F-57E2-B11E-FFDC-FA8B8AF8DFAA}"/>
            </a:ext>
          </a:extLst>
        </xdr:cNvPr>
        <xdr:cNvSpPr/>
      </xdr:nvSpPr>
      <xdr:spPr>
        <a:xfrm>
          <a:off x="4899025" y="3930650"/>
          <a:ext cx="2794000" cy="444500"/>
        </a:xfrm>
        <a:prstGeom prst="roundRect">
          <a:avLst/>
        </a:prstGeom>
        <a:solidFill>
          <a:srgbClr val="6F42C1"/>
        </a:solidFill>
        <a:ln w="19050" cap="flat" cmpd="sng" algn="ctr">
          <a:noFill/>
          <a:prstDash val="solid"/>
          <a:miter lim="800000"/>
        </a:ln>
        <a:effectLst>
          <a:outerShdw blurRad="63500" dist="26941" dir="2700000" rotWithShape="0">
            <a:srgbClr val="A0A0A0">
              <a:alpha val="5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Calibri" panose="020F0502020204030204" pitchFamily="34" charset="0"/>
            </a:rPr>
            <a:t>Update Existing Delivery List</a:t>
          </a:r>
        </a:p>
      </xdr:txBody>
    </xdr:sp>
    <xdr:clientData fLocksWithSheet="0"/>
  </xdr:twoCellAnchor>
  <xdr:twoCellAnchor editAs="absolute">
    <xdr:from>
      <xdr:col>7</xdr:col>
      <xdr:colOff>565150</xdr:colOff>
      <xdr:row>13</xdr:row>
      <xdr:rowOff>120650</xdr:rowOff>
    </xdr:from>
    <xdr:to>
      <xdr:col>10</xdr:col>
      <xdr:colOff>415925</xdr:colOff>
      <xdr:row>15</xdr:row>
      <xdr:rowOff>31750</xdr:rowOff>
    </xdr:to>
    <xdr:sp macro="[0]!SaveCopyForSharePoint" textlink="">
      <xdr:nvSpPr>
        <xdr:cNvPr id="2909" name="btnHomeSave">
          <a:extLst>
            <a:ext uri="{FF2B5EF4-FFF2-40B4-BE49-F238E27FC236}">
              <a16:creationId xmlns:a16="http://schemas.microsoft.com/office/drawing/2014/main" id="{1608E4F3-F7F0-0886-B709-4AE8491ED68B}"/>
            </a:ext>
          </a:extLst>
        </xdr:cNvPr>
        <xdr:cNvSpPr/>
      </xdr:nvSpPr>
      <xdr:spPr>
        <a:xfrm>
          <a:off x="4899025" y="4464050"/>
          <a:ext cx="2794000" cy="444500"/>
        </a:xfrm>
        <a:prstGeom prst="roundRect">
          <a:avLst/>
        </a:prstGeom>
        <a:solidFill>
          <a:srgbClr val="27AE60"/>
        </a:solidFill>
        <a:ln w="19050" cap="flat" cmpd="sng" algn="ctr">
          <a:noFill/>
          <a:prstDash val="solid"/>
          <a:miter lim="800000"/>
        </a:ln>
        <a:effectLst>
          <a:outerShdw blurRad="63500" dist="26941" dir="2700000" rotWithShape="0">
            <a:srgbClr val="A0A0A0">
              <a:alpha val="5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Calibri" panose="020F0502020204030204" pitchFamily="34" charset="0"/>
            </a:rPr>
            <a:t>Save Copy for SharePoint (.xlsm)</a:t>
          </a:r>
        </a:p>
      </xdr:txBody>
    </xdr:sp>
    <xdr:clientData fLocksWithSheet="0"/>
  </xdr:twoCellAnchor>
  <xdr:twoCellAnchor editAs="absolute">
    <xdr:from>
      <xdr:col>7</xdr:col>
      <xdr:colOff>565150</xdr:colOff>
      <xdr:row>15</xdr:row>
      <xdr:rowOff>120650</xdr:rowOff>
    </xdr:from>
    <xdr:to>
      <xdr:col>10</xdr:col>
      <xdr:colOff>415925</xdr:colOff>
      <xdr:row>17</xdr:row>
      <xdr:rowOff>31750</xdr:rowOff>
    </xdr:to>
    <xdr:sp macro="[0]!SyncDeliveryListToScannerSheets" textlink="">
      <xdr:nvSpPr>
        <xdr:cNvPr id="2910" name="btnHomeSync">
          <a:extLst>
            <a:ext uri="{FF2B5EF4-FFF2-40B4-BE49-F238E27FC236}">
              <a16:creationId xmlns:a16="http://schemas.microsoft.com/office/drawing/2014/main" id="{47195DA9-E95E-CDA6-6ED5-1FA9D249B733}"/>
            </a:ext>
          </a:extLst>
        </xdr:cNvPr>
        <xdr:cNvSpPr/>
      </xdr:nvSpPr>
      <xdr:spPr>
        <a:xfrm>
          <a:off x="4899025" y="4997450"/>
          <a:ext cx="2794000" cy="444500"/>
        </a:xfrm>
        <a:prstGeom prst="roundRect">
          <a:avLst/>
        </a:prstGeom>
        <a:solidFill>
          <a:srgbClr val="8E44AD"/>
        </a:solidFill>
        <a:ln w="19050" cap="flat" cmpd="sng" algn="ctr">
          <a:noFill/>
          <a:prstDash val="solid"/>
          <a:miter lim="800000"/>
        </a:ln>
        <a:effectLst>
          <a:outerShdw blurRad="63500" dist="26941" dir="2700000" rotWithShape="0">
            <a:srgbClr val="A0A0A0">
              <a:alpha val="5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Calibri" panose="020F0502020204030204" pitchFamily="34" charset="0"/>
            </a:rPr>
            <a:t>Sync to Scanner Sheets</a:t>
          </a:r>
        </a:p>
      </xdr:txBody>
    </xdr:sp>
    <xdr:clientData fLocksWithSheet="0"/>
  </xdr:twoCellAnchor>
  <xdr:twoCellAnchor editAs="absolute">
    <xdr:from>
      <xdr:col>7</xdr:col>
      <xdr:colOff>565150</xdr:colOff>
      <xdr:row>17</xdr:row>
      <xdr:rowOff>120650</xdr:rowOff>
    </xdr:from>
    <xdr:to>
      <xdr:col>10</xdr:col>
      <xdr:colOff>415925</xdr:colOff>
      <xdr:row>19</xdr:row>
      <xdr:rowOff>31750</xdr:rowOff>
    </xdr:to>
    <xdr:sp macro="[0]!OpenDeliveryListForEditing" textlink="">
      <xdr:nvSpPr>
        <xdr:cNvPr id="2911" name="btnGoDeliveryListEdit">
          <a:extLst>
            <a:ext uri="{FF2B5EF4-FFF2-40B4-BE49-F238E27FC236}">
              <a16:creationId xmlns:a16="http://schemas.microsoft.com/office/drawing/2014/main" id="{BD8A24EE-8EB1-0E13-9E54-30D1BB04A082}"/>
            </a:ext>
          </a:extLst>
        </xdr:cNvPr>
        <xdr:cNvSpPr/>
      </xdr:nvSpPr>
      <xdr:spPr>
        <a:xfrm>
          <a:off x="4899025" y="5530850"/>
          <a:ext cx="2794000" cy="444500"/>
        </a:xfrm>
        <a:prstGeom prst="roundRect">
          <a:avLst/>
        </a:prstGeom>
        <a:solidFill>
          <a:srgbClr val="C08000"/>
        </a:solidFill>
        <a:ln w="19050" cap="flat" cmpd="sng" algn="ctr">
          <a:noFill/>
          <a:prstDash val="solid"/>
          <a:miter lim="800000"/>
        </a:ln>
        <a:effectLst>
          <a:outerShdw blurRad="63500" dist="26941" dir="2700000" rotWithShape="0">
            <a:srgbClr val="A0A0A0">
              <a:alpha val="5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Calibri" panose="020F0502020204030204" pitchFamily="34" charset="0"/>
            </a:rPr>
            <a:t>Open Delivery List (Edit)</a:t>
          </a:r>
        </a:p>
      </xdr:txBody>
    </xdr:sp>
    <xdr:clientData fLocksWithSheet="0"/>
  </xdr:twoCellAnchor>
  <xdr:twoCellAnchor editAs="absolute">
    <xdr:from>
      <xdr:col>7</xdr:col>
      <xdr:colOff>565150</xdr:colOff>
      <xdr:row>19</xdr:row>
      <xdr:rowOff>120650</xdr:rowOff>
    </xdr:from>
    <xdr:to>
      <xdr:col>10</xdr:col>
      <xdr:colOff>415925</xdr:colOff>
      <xdr:row>21</xdr:row>
      <xdr:rowOff>31750</xdr:rowOff>
    </xdr:to>
    <xdr:sp macro="[0]!PrintDeliveryListBySection" textlink="">
      <xdr:nvSpPr>
        <xdr:cNvPr id="2912" name="btnHomePrintDelivery">
          <a:extLst>
            <a:ext uri="{FF2B5EF4-FFF2-40B4-BE49-F238E27FC236}">
              <a16:creationId xmlns:a16="http://schemas.microsoft.com/office/drawing/2014/main" id="{716A4AAD-CA4F-194F-F78A-4C9CBA114A70}"/>
            </a:ext>
          </a:extLst>
        </xdr:cNvPr>
        <xdr:cNvSpPr/>
      </xdr:nvSpPr>
      <xdr:spPr>
        <a:xfrm>
          <a:off x="4899025" y="6064250"/>
          <a:ext cx="2794000" cy="444500"/>
        </a:xfrm>
        <a:prstGeom prst="roundRect">
          <a:avLst/>
        </a:prstGeom>
        <a:solidFill>
          <a:srgbClr val="34495E"/>
        </a:solidFill>
        <a:ln w="19050" cap="flat" cmpd="sng" algn="ctr">
          <a:noFill/>
          <a:prstDash val="solid"/>
          <a:miter lim="800000"/>
        </a:ln>
        <a:effectLst>
          <a:outerShdw blurRad="63500" dist="26941" dir="2700000" rotWithShape="0">
            <a:srgbClr val="A0A0A0">
              <a:alpha val="5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Calibri" panose="020F0502020204030204" pitchFamily="34" charset="0"/>
            </a:rPr>
            <a:t>Print Orders / Remakes</a:t>
          </a:r>
        </a:p>
      </xdr:txBody>
    </xdr:sp>
    <xdr:clientData fLocksWithSheet="0"/>
  </xdr:twoCellAnchor>
  <xdr:twoCellAnchor editAs="absolute">
    <xdr:from>
      <xdr:col>7</xdr:col>
      <xdr:colOff>565150</xdr:colOff>
      <xdr:row>21</xdr:row>
      <xdr:rowOff>120650</xdr:rowOff>
    </xdr:from>
    <xdr:to>
      <xdr:col>10</xdr:col>
      <xdr:colOff>415925</xdr:colOff>
      <xdr:row>23</xdr:row>
      <xdr:rowOff>31750</xdr:rowOff>
    </xdr:to>
    <xdr:sp macro="[0]!ManualScanFromUtilityPanel" textlink="">
      <xdr:nvSpPr>
        <xdr:cNvPr id="2913" name="btnHomeManualScan">
          <a:extLst>
            <a:ext uri="{FF2B5EF4-FFF2-40B4-BE49-F238E27FC236}">
              <a16:creationId xmlns:a16="http://schemas.microsoft.com/office/drawing/2014/main" id="{0D9B9C42-4DB6-7FC2-1B1E-4043E81D1EF6}"/>
            </a:ext>
          </a:extLst>
        </xdr:cNvPr>
        <xdr:cNvSpPr/>
      </xdr:nvSpPr>
      <xdr:spPr>
        <a:xfrm>
          <a:off x="4899025" y="6597650"/>
          <a:ext cx="2794000" cy="444500"/>
        </a:xfrm>
        <a:prstGeom prst="roundRect">
          <a:avLst/>
        </a:prstGeom>
        <a:solidFill>
          <a:srgbClr val="E67E22"/>
        </a:solidFill>
        <a:ln w="19050" cap="flat" cmpd="sng" algn="ctr">
          <a:noFill/>
          <a:prstDash val="solid"/>
          <a:miter lim="800000"/>
        </a:ln>
        <a:effectLst>
          <a:outerShdw blurRad="63500" dist="26941" dir="2700000" rotWithShape="0">
            <a:srgbClr val="A0A0A0">
              <a:alpha val="5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Calibri" panose="020F0502020204030204" pitchFamily="34" charset="0"/>
            </a:rPr>
            <a:t>Manual Scan Entry</a:t>
          </a:r>
        </a:p>
      </xdr:txBody>
    </xdr:sp>
    <xdr:clientData fLocksWithSheet="0"/>
  </xdr:twoCellAnchor>
  <xdr:twoCellAnchor editAs="absolute">
    <xdr:from>
      <xdr:col>13</xdr:col>
      <xdr:colOff>565150</xdr:colOff>
      <xdr:row>9</xdr:row>
      <xdr:rowOff>120650</xdr:rowOff>
    </xdr:from>
    <xdr:to>
      <xdr:col>16</xdr:col>
      <xdr:colOff>415925</xdr:colOff>
      <xdr:row>11</xdr:row>
      <xdr:rowOff>31750</xdr:rowOff>
    </xdr:to>
    <xdr:sp macro="[0]!GoToDeliveryList" textlink="">
      <xdr:nvSpPr>
        <xdr:cNvPr id="2914" name="btnGoDeliveryList">
          <a:extLst>
            <a:ext uri="{FF2B5EF4-FFF2-40B4-BE49-F238E27FC236}">
              <a16:creationId xmlns:a16="http://schemas.microsoft.com/office/drawing/2014/main" id="{064F797A-85CD-3559-89A9-C494F2700803}"/>
            </a:ext>
          </a:extLst>
        </xdr:cNvPr>
        <xdr:cNvSpPr/>
      </xdr:nvSpPr>
      <xdr:spPr>
        <a:xfrm>
          <a:off x="9451975" y="3397250"/>
          <a:ext cx="2794000" cy="444500"/>
        </a:xfrm>
        <a:prstGeom prst="roundRect">
          <a:avLst/>
        </a:prstGeom>
        <a:solidFill>
          <a:srgbClr val="6C757D"/>
        </a:solidFill>
        <a:ln w="19050" cap="flat" cmpd="sng" algn="ctr">
          <a:noFill/>
          <a:prstDash val="solid"/>
          <a:miter lim="800000"/>
        </a:ln>
        <a:effectLst>
          <a:outerShdw blurRad="63500" dist="26941" dir="2700000" rotWithShape="0">
            <a:srgbClr val="A0A0A0">
              <a:alpha val="5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Calibri" panose="020F0502020204030204" pitchFamily="34" charset="0"/>
            </a:rPr>
            <a:t>Open - Delivery List</a:t>
          </a:r>
        </a:p>
      </xdr:txBody>
    </xdr:sp>
    <xdr:clientData fLocksWithSheet="0"/>
  </xdr:twoCellAnchor>
  <xdr:twoCellAnchor editAs="absolute">
    <xdr:from>
      <xdr:col>13</xdr:col>
      <xdr:colOff>565150</xdr:colOff>
      <xdr:row>11</xdr:row>
      <xdr:rowOff>120650</xdr:rowOff>
    </xdr:from>
    <xdr:to>
      <xdr:col>16</xdr:col>
      <xdr:colOff>415925</xdr:colOff>
      <xdr:row>13</xdr:row>
      <xdr:rowOff>31750</xdr:rowOff>
    </xdr:to>
    <xdr:sp macro="[0]!GoToAirportRd" textlink="">
      <xdr:nvSpPr>
        <xdr:cNvPr id="2915" name="btnGoAirportRd">
          <a:extLst>
            <a:ext uri="{FF2B5EF4-FFF2-40B4-BE49-F238E27FC236}">
              <a16:creationId xmlns:a16="http://schemas.microsoft.com/office/drawing/2014/main" id="{CA88358B-060C-4450-4E21-E720A711C9AC}"/>
            </a:ext>
          </a:extLst>
        </xdr:cNvPr>
        <xdr:cNvSpPr/>
      </xdr:nvSpPr>
      <xdr:spPr>
        <a:xfrm>
          <a:off x="9451975" y="3930650"/>
          <a:ext cx="2794000" cy="444500"/>
        </a:xfrm>
        <a:prstGeom prst="roundRect">
          <a:avLst/>
        </a:prstGeom>
        <a:solidFill>
          <a:srgbClr val="6C757D"/>
        </a:solidFill>
        <a:ln w="19050" cap="flat" cmpd="sng" algn="ctr">
          <a:noFill/>
          <a:prstDash val="solid"/>
          <a:miter lim="800000"/>
        </a:ln>
        <a:effectLst>
          <a:outerShdw blurRad="63500" dist="26941" dir="2700000" rotWithShape="0">
            <a:srgbClr val="A0A0A0">
              <a:alpha val="5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Calibri" panose="020F0502020204030204" pitchFamily="34" charset="0"/>
            </a:rPr>
            <a:t>Open Outbound - Airport Rd</a:t>
          </a:r>
        </a:p>
      </xdr:txBody>
    </xdr:sp>
    <xdr:clientData fLocksWithSheet="0"/>
  </xdr:twoCellAnchor>
  <xdr:twoCellAnchor editAs="absolute">
    <xdr:from>
      <xdr:col>13</xdr:col>
      <xdr:colOff>565150</xdr:colOff>
      <xdr:row>13</xdr:row>
      <xdr:rowOff>120650</xdr:rowOff>
    </xdr:from>
    <xdr:to>
      <xdr:col>16</xdr:col>
      <xdr:colOff>415925</xdr:colOff>
      <xdr:row>15</xdr:row>
      <xdr:rowOff>31750</xdr:rowOff>
    </xdr:to>
    <xdr:sp macro="[0]!GoToReceiveSheet" textlink="">
      <xdr:nvSpPr>
        <xdr:cNvPr id="2916" name="btnGoReceiveSheet">
          <a:extLst>
            <a:ext uri="{FF2B5EF4-FFF2-40B4-BE49-F238E27FC236}">
              <a16:creationId xmlns:a16="http://schemas.microsoft.com/office/drawing/2014/main" id="{5D6FBA17-A930-273B-74BD-63EF34545FC7}"/>
            </a:ext>
          </a:extLst>
        </xdr:cNvPr>
        <xdr:cNvSpPr/>
      </xdr:nvSpPr>
      <xdr:spPr>
        <a:xfrm>
          <a:off x="9451975" y="4464050"/>
          <a:ext cx="2794000" cy="444500"/>
        </a:xfrm>
        <a:prstGeom prst="roundRect">
          <a:avLst/>
        </a:prstGeom>
        <a:solidFill>
          <a:srgbClr val="6C757D"/>
        </a:solidFill>
        <a:ln w="19050" cap="flat" cmpd="sng" algn="ctr">
          <a:noFill/>
          <a:prstDash val="solid"/>
          <a:miter lim="800000"/>
        </a:ln>
        <a:effectLst>
          <a:outerShdw blurRad="63500" dist="26941" dir="2700000" rotWithShape="0">
            <a:srgbClr val="A0A0A0">
              <a:alpha val="5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Calibri" panose="020F0502020204030204" pitchFamily="34" charset="0"/>
            </a:rPr>
            <a:t>Open Inbound - Indian Trail</a:t>
          </a:r>
        </a:p>
      </xdr:txBody>
    </xdr:sp>
    <xdr:clientData fLock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81855</xdr:colOff>
      <xdr:row>4</xdr:row>
      <xdr:rowOff>14903</xdr:rowOff>
    </xdr:to>
    <xdr:pic>
      <xdr:nvPicPr>
        <xdr:cNvPr id="2" name="Picture 65537">
          <a:extLst>
            <a:ext uri="{FF2B5EF4-FFF2-40B4-BE49-F238E27FC236}">
              <a16:creationId xmlns:a16="http://schemas.microsoft.com/office/drawing/2014/main" id="{196BF3BF-6B93-47AB-B88B-3D21302CAB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0"/>
          <a:ext cx="1348680" cy="134840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28574</xdr:colOff>
      <xdr:row>0</xdr:row>
      <xdr:rowOff>38099</xdr:rowOff>
    </xdr:from>
    <xdr:to>
      <xdr:col>0</xdr:col>
      <xdr:colOff>1952625</xdr:colOff>
      <xdr:row>3</xdr:row>
      <xdr:rowOff>685799</xdr:rowOff>
    </xdr:to>
    <xdr:pic>
      <xdr:nvPicPr>
        <xdr:cNvPr id="24" name="Picture 65537">
          <a:extLst>
            <a:ext uri="{FF2B5EF4-FFF2-40B4-BE49-F238E27FC236}">
              <a16:creationId xmlns:a16="http://schemas.microsoft.com/office/drawing/2014/main" id="{52EFD7B9-C000-4660-A0E2-C6DB6671A4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28574" y="38099"/>
          <a:ext cx="1924051" cy="1952625"/>
        </a:xfrm>
        <a:prstGeom prst="rect">
          <a:avLst/>
        </a:prstGeom>
        <a:ln w="12700" cap="sq">
          <a:solidFill>
            <a:srgbClr val="000000"/>
          </a:solidFill>
          <a:prstDash val="solid"/>
          <a:miter lim="800000"/>
        </a:ln>
        <a:effectLst/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E65AD1-CBC5-415D-90A4-2209EB22DB27}">
  <sheetPr codeName="Sheet6">
    <pageSetUpPr autoPageBreaks="0"/>
  </sheetPr>
  <dimension ref="H1:AA35"/>
  <sheetViews>
    <sheetView showGridLines="0" workbookViewId="0">
      <selection activeCell="N23" sqref="N23"/>
    </sheetView>
  </sheetViews>
  <sheetFormatPr defaultRowHeight="12.75" x14ac:dyDescent="0.2"/>
  <cols>
    <col min="1" max="5" width="10.7109375" style="21" customWidth="1"/>
    <col min="6" max="7" width="5.7109375" style="21" customWidth="1"/>
    <col min="8" max="11" width="14.7109375" style="21" customWidth="1"/>
    <col min="12" max="13" width="4.7109375" style="21" customWidth="1"/>
    <col min="14" max="17" width="14.7109375" style="21" customWidth="1"/>
    <col min="18" max="19" width="4.7109375" style="21" customWidth="1"/>
    <col min="20" max="25" width="9.140625" style="21"/>
    <col min="26" max="27" width="9.140625" style="21" hidden="1" customWidth="1"/>
    <col min="28" max="16384" width="9.140625" style="21"/>
  </cols>
  <sheetData>
    <row r="1" spans="8:17" ht="21.95" customHeight="1" x14ac:dyDescent="0.2"/>
    <row r="2" spans="8:17" ht="38.1" customHeight="1" x14ac:dyDescent="0.2">
      <c r="H2" s="22" t="s">
        <v>25</v>
      </c>
      <c r="I2" s="22"/>
      <c r="J2" s="22"/>
      <c r="K2" s="22"/>
      <c r="L2" s="22"/>
      <c r="M2" s="22"/>
      <c r="N2" s="22"/>
      <c r="O2" s="22"/>
      <c r="P2" s="22"/>
      <c r="Q2" s="22"/>
    </row>
    <row r="3" spans="8:17" ht="36" customHeight="1" x14ac:dyDescent="0.2">
      <c r="H3" s="22"/>
      <c r="I3" s="22"/>
      <c r="J3" s="22"/>
      <c r="K3" s="22"/>
      <c r="L3" s="22"/>
      <c r="M3" s="22"/>
      <c r="N3" s="22"/>
      <c r="O3" s="22"/>
      <c r="P3" s="22"/>
      <c r="Q3" s="22"/>
    </row>
    <row r="4" spans="8:17" ht="21.95" customHeight="1" x14ac:dyDescent="0.2"/>
    <row r="5" spans="8:17" ht="24" customHeight="1" x14ac:dyDescent="0.2">
      <c r="H5" s="23" t="s">
        <v>29</v>
      </c>
      <c r="I5" s="23"/>
      <c r="J5" s="23"/>
      <c r="K5" s="23"/>
      <c r="L5" s="23"/>
      <c r="M5" s="23"/>
      <c r="N5" s="23"/>
      <c r="O5" s="23"/>
      <c r="P5" s="23"/>
      <c r="Q5" s="23"/>
    </row>
    <row r="6" spans="8:17" ht="33.950000000000003" customHeight="1" x14ac:dyDescent="0.2">
      <c r="H6" s="23"/>
      <c r="I6" s="23"/>
      <c r="J6" s="23"/>
      <c r="K6" s="23"/>
      <c r="L6" s="23"/>
      <c r="M6" s="23"/>
      <c r="N6" s="23"/>
      <c r="O6" s="23"/>
      <c r="P6" s="23"/>
      <c r="Q6" s="23"/>
    </row>
    <row r="7" spans="8:17" ht="33.950000000000003" customHeight="1" x14ac:dyDescent="0.2">
      <c r="H7" s="23"/>
      <c r="I7" s="23"/>
      <c r="J7" s="23"/>
      <c r="K7" s="23"/>
      <c r="L7" s="23"/>
      <c r="M7" s="23"/>
      <c r="N7" s="23"/>
      <c r="O7" s="23"/>
      <c r="P7" s="23"/>
      <c r="Q7" s="23"/>
    </row>
    <row r="8" spans="8:17" ht="21.95" customHeight="1" x14ac:dyDescent="0.2"/>
    <row r="9" spans="8:17" ht="27.95" customHeight="1" x14ac:dyDescent="0.2">
      <c r="H9" s="24" t="s">
        <v>23</v>
      </c>
      <c r="I9" s="24"/>
      <c r="J9" s="24"/>
      <c r="K9" s="24"/>
      <c r="N9" s="24" t="s">
        <v>24</v>
      </c>
      <c r="O9" s="24"/>
      <c r="P9" s="24"/>
      <c r="Q9" s="24"/>
    </row>
    <row r="10" spans="8:17" ht="12" customHeight="1" x14ac:dyDescent="0.2"/>
    <row r="11" spans="8:17" ht="30" customHeight="1" x14ac:dyDescent="0.2"/>
    <row r="12" spans="8:17" ht="12" customHeight="1" x14ac:dyDescent="0.2"/>
    <row r="13" spans="8:17" ht="30" customHeight="1" x14ac:dyDescent="0.2"/>
    <row r="14" spans="8:17" ht="12" customHeight="1" x14ac:dyDescent="0.2"/>
    <row r="15" spans="8:17" ht="30" customHeight="1" x14ac:dyDescent="0.2"/>
    <row r="16" spans="8:17" ht="12" customHeight="1" x14ac:dyDescent="0.2"/>
    <row r="17" s="21" customFormat="1" ht="30" customHeight="1" x14ac:dyDescent="0.2"/>
    <row r="18" s="21" customFormat="1" ht="12" customHeight="1" x14ac:dyDescent="0.2"/>
    <row r="19" s="21" customFormat="1" ht="30" customHeight="1" x14ac:dyDescent="0.2"/>
    <row r="20" s="21" customFormat="1" ht="12" customHeight="1" x14ac:dyDescent="0.2"/>
    <row r="21" s="21" customFormat="1" ht="30" customHeight="1" x14ac:dyDescent="0.2"/>
    <row r="22" s="21" customFormat="1" ht="12" customHeight="1" x14ac:dyDescent="0.2"/>
    <row r="23" s="21" customFormat="1" ht="30" customHeight="1" x14ac:dyDescent="0.2"/>
    <row r="24" s="21" customFormat="1" ht="21.95" customHeight="1" x14ac:dyDescent="0.2"/>
    <row r="25" s="21" customFormat="1" ht="21.95" customHeight="1" x14ac:dyDescent="0.2"/>
    <row r="26" s="21" customFormat="1" ht="21.95" customHeight="1" x14ac:dyDescent="0.2"/>
    <row r="27" s="21" customFormat="1" ht="21.95" customHeight="1" x14ac:dyDescent="0.2"/>
    <row r="28" s="21" customFormat="1" ht="21.95" customHeight="1" x14ac:dyDescent="0.2"/>
    <row r="29" s="21" customFormat="1" ht="21.95" customHeight="1" x14ac:dyDescent="0.2"/>
    <row r="30" s="21" customFormat="1" ht="21.95" customHeight="1" x14ac:dyDescent="0.2"/>
    <row r="31" s="21" customFormat="1" ht="21.95" customHeight="1" x14ac:dyDescent="0.2"/>
    <row r="32" s="21" customFormat="1" ht="21.95" customHeight="1" x14ac:dyDescent="0.2"/>
    <row r="33" s="21" customFormat="1" ht="21.95" customHeight="1" x14ac:dyDescent="0.2"/>
    <row r="34" s="21" customFormat="1" ht="21.95" customHeight="1" x14ac:dyDescent="0.2"/>
    <row r="35" s="21" customFormat="1" ht="21.95" customHeight="1" x14ac:dyDescent="0.2"/>
  </sheetData>
  <sheetProtection sheet="1" scenarios="1"/>
  <mergeCells count="4">
    <mergeCell ref="H2:Q3"/>
    <mergeCell ref="H5:Q7"/>
    <mergeCell ref="H9:K9"/>
    <mergeCell ref="N9:Q9"/>
  </mergeCells>
  <pageMargins left="0.7" right="0.7" top="0.75" bottom="0.75" header="0.3" footer="0.3"/>
  <pageSetup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2CBF98-53E5-48E7-AAEE-2889F19F6FE2}">
  <sheetPr codeName="Sheet2">
    <outlinePr summaryBelow="0" summaryRight="0"/>
    <pageSetUpPr autoPageBreaks="0"/>
  </sheetPr>
  <dimension ref="A1:AV100"/>
  <sheetViews>
    <sheetView workbookViewId="0">
      <pane ySplit="5" topLeftCell="A6" activePane="bottomLeft" state="frozenSplit"/>
      <selection pane="bottomLeft" activeCell="A6" sqref="A6"/>
    </sheetView>
  </sheetViews>
  <sheetFormatPr defaultColWidth="6.85546875" defaultRowHeight="12.75" customHeight="1" x14ac:dyDescent="0.2"/>
  <cols>
    <col min="1" max="1" width="19" style="21" customWidth="1"/>
    <col min="2" max="2" width="1.5703125" style="21" customWidth="1"/>
    <col min="3" max="3" width="4.5703125" style="21" customWidth="1"/>
    <col min="4" max="4" width="3.42578125" style="21" customWidth="1"/>
    <col min="5" max="5" width="10.7109375" style="21" customWidth="1"/>
    <col min="6" max="6" width="8.140625" style="21" bestFit="1" customWidth="1"/>
    <col min="7" max="7" width="6.7109375" style="21" customWidth="1"/>
    <col min="8" max="8" width="14.7109375" style="21" customWidth="1"/>
    <col min="9" max="9" width="16.7109375" style="21" customWidth="1"/>
    <col min="10" max="10" width="18.28515625" style="21" customWidth="1"/>
    <col min="11" max="11" width="6.7109375" style="21" customWidth="1"/>
    <col min="12" max="12" width="3.7109375" style="21" customWidth="1"/>
    <col min="13" max="13" width="13.7109375" style="21" customWidth="1"/>
    <col min="14" max="14" width="1.7109375" style="21" customWidth="1"/>
    <col min="15" max="15" width="18.7109375" style="48" customWidth="1"/>
    <col min="16" max="16" width="20.7109375" style="49" customWidth="1"/>
    <col min="17" max="17" width="12.7109375" style="49" customWidth="1"/>
    <col min="18" max="18" width="10.7109375" style="49" customWidth="1"/>
    <col min="19" max="19" width="16.7109375" style="49" customWidth="1"/>
    <col min="20" max="20" width="25.7109375" style="50" customWidth="1"/>
    <col min="21" max="22" width="15.7109375" style="49" customWidth="1"/>
    <col min="23" max="23" width="20.7109375" style="49" customWidth="1"/>
    <col min="24" max="24" width="18.7109375" style="48" customWidth="1"/>
    <col min="25" max="25" width="20.7109375" style="49" customWidth="1"/>
    <col min="26" max="26" width="12.7109375" style="49" customWidth="1"/>
    <col min="27" max="27" width="10.7109375" style="49" customWidth="1"/>
    <col min="28" max="28" width="16.7109375" style="49" customWidth="1"/>
    <col min="29" max="29" width="25.7109375" style="50" customWidth="1"/>
    <col min="30" max="30" width="15.7109375" style="49" customWidth="1"/>
    <col min="31" max="31" width="6.85546875" style="49" hidden="1" customWidth="1"/>
    <col min="32" max="32" width="20.7109375" style="49" customWidth="1"/>
    <col min="33" max="33" width="15.7109375" style="49" customWidth="1"/>
    <col min="34" max="40" width="6.85546875" style="21" customWidth="1"/>
    <col min="41" max="41" width="18.7109375" style="48" customWidth="1"/>
    <col min="42" max="42" width="20.7109375" style="49" customWidth="1"/>
    <col min="43" max="43" width="12.7109375" style="49" customWidth="1"/>
    <col min="44" max="44" width="10.7109375" style="49" customWidth="1"/>
    <col min="45" max="45" width="16.7109375" style="49" customWidth="1"/>
    <col min="46" max="46" width="25.7109375" style="49" customWidth="1"/>
    <col min="47" max="47" width="15.7109375" style="49" customWidth="1"/>
    <col min="48" max="48" width="20.7109375" style="49" customWidth="1"/>
    <col min="49" max="16384" width="6.85546875" style="21" customWidth="1"/>
  </cols>
  <sheetData>
    <row r="1" spans="1:48" ht="6.75" customHeight="1" x14ac:dyDescent="0.2"/>
    <row r="2" spans="1:48" ht="24" customHeight="1" x14ac:dyDescent="0.2">
      <c r="D2" s="32" t="s">
        <v>0</v>
      </c>
      <c r="E2" s="32"/>
      <c r="F2" s="32"/>
      <c r="G2" s="32"/>
      <c r="H2" s="32"/>
      <c r="I2" s="33" t="s">
        <v>65</v>
      </c>
      <c r="J2" s="33"/>
      <c r="K2" s="33"/>
      <c r="L2" s="33"/>
      <c r="O2" s="70" t="str">
        <f ca="1">"Outbound: "&amp;SUMPRODUCT(SUBTOTAL(103,OFFSET($E$6,ROW($E$6:$E$97)-ROW($E$6),0,1)),--($U$6:$U$97="OK"),--($E$6:$E$97&lt;&gt;""))&amp;"/"&amp;SUMPRODUCT(SUBTOTAL(103,OFFSET($E$6,ROW($E$6:$E$97)-ROW($E$6),0,1)),--($E$6:$E$97&lt;&gt;""))&amp;" • "&amp;TEXT(IFERROR(SUMPRODUCT(SUBTOTAL(103,OFFSET($E$6,ROW($E$6:$E$97)-ROW($E$6),0,1)),--((($V$6:$V$97="On-Time")+($V$6:$V$97="Early"))&gt;0),--($E$6:$E$97&lt;&gt;""))/SUMPRODUCT(SUBTOTAL(103,OFFSET($E$6,ROW($E$6:$E$97)-ROW($E$6),0,1)),--($E$6:$E$97&lt;&gt;"")),0),"0.0%")&amp;" On Time"</f>
        <v>Outbound: 0/88 • 0.0% On Time</v>
      </c>
      <c r="P2" s="70"/>
      <c r="Q2" s="70"/>
      <c r="R2" s="70"/>
      <c r="S2" s="70"/>
      <c r="T2" s="70"/>
      <c r="U2" s="70"/>
      <c r="V2" s="70"/>
      <c r="W2" s="70"/>
      <c r="X2" s="71" t="str">
        <f ca="1">"Inbound: "&amp;SUMPRODUCT(SUBTOTAL(103,OFFSET($E$6,ROW($E$6:$E$97)-ROW($E$6),0,1)),--($AD$6:$AD$97="Received"),--($E$6:$E$97&lt;&gt;""))&amp;"/"&amp;SUMPRODUCT(SUBTOTAL(103,OFFSET($E$6,ROW($E$6:$E$97)-ROW($E$6),0,1)),--($E$6:$E$97&lt;&gt;""))&amp;" • "&amp;TEXT(IFERROR(SUMPRODUCT(SUBTOTAL(103,OFFSET($E$6,ROW($E$6:$E$97)-ROW($E$6),0,1)),--($AD$6:$AD$97="Received"),--($E$6:$E$97&lt;&gt;""))/SUMPRODUCT(SUBTOTAL(103,OFFSET($E$6,ROW($E$6:$E$97)-ROW($E$6),0,1)),--($E$6:$E$97&lt;&gt;"")),0),"0.0%")&amp;" Complete"</f>
        <v>Inbound: 0/88 • 0.0% Complete</v>
      </c>
      <c r="Y2" s="71"/>
      <c r="Z2" s="71"/>
      <c r="AA2" s="71"/>
      <c r="AB2" s="71"/>
      <c r="AC2" s="71"/>
      <c r="AD2" s="71"/>
      <c r="AE2" s="71"/>
      <c r="AF2" s="71"/>
      <c r="AG2" s="71"/>
      <c r="AO2" s="72" t="str">
        <f ca="1">"Staged: "&amp;SUMPRODUCT(SUBTOTAL(103,OFFSET($E$6,ROW($E$6:$E$97)-ROW($E$6),0,1)),--($AU$6:$AU$97="OK"),--($E$6:$E$97&lt;&gt;""))&amp;"/"&amp;SUMPRODUCT(SUBTOTAL(103,OFFSET($E$6,ROW($E$6:$E$97)-ROW($E$6),0,1)),--($E$6:$E$97&lt;&gt;""))&amp;" • "&amp;TEXT(IFERROR(SUMPRODUCT(SUBTOTAL(103,OFFSET($E$6,ROW($E$6:$E$97)-ROW($E$6),0,1)),--($AU$6:$AU$97="OK"),--($E$6:$E$97&lt;&gt;""))/SUMPRODUCT(SUBTOTAL(103,OFFSET($E$6,ROW($E$6:$E$97)-ROW($E$6),0,1)),--($E$6:$E$97&lt;&gt;"")),0),"0.0%")&amp;" Complete"</f>
        <v>Staged: 0/88 • 0.0% Complete</v>
      </c>
      <c r="AP2" s="72"/>
      <c r="AQ2" s="72"/>
      <c r="AR2" s="72"/>
      <c r="AS2" s="72"/>
      <c r="AT2" s="72"/>
      <c r="AU2" s="72"/>
      <c r="AV2" s="72"/>
    </row>
    <row r="3" spans="1:48" ht="54.95" customHeight="1" x14ac:dyDescent="0.2">
      <c r="O3" s="68" t="s">
        <v>26</v>
      </c>
      <c r="P3" s="69"/>
      <c r="Q3" s="69"/>
      <c r="R3" s="69"/>
      <c r="S3" s="69"/>
      <c r="T3" s="69"/>
      <c r="U3" s="69"/>
      <c r="V3" s="69"/>
      <c r="W3" s="69"/>
      <c r="X3" s="68" t="s">
        <v>28</v>
      </c>
      <c r="Y3" s="69"/>
      <c r="Z3" s="69"/>
      <c r="AA3" s="69"/>
      <c r="AB3" s="69"/>
      <c r="AC3" s="69"/>
      <c r="AD3" s="69"/>
      <c r="AE3" s="69"/>
      <c r="AF3" s="69"/>
      <c r="AG3" s="69"/>
      <c r="AO3" s="68" t="s">
        <v>27</v>
      </c>
      <c r="AP3" s="69"/>
      <c r="AQ3" s="69"/>
      <c r="AR3" s="69"/>
      <c r="AS3" s="69"/>
      <c r="AT3" s="69"/>
      <c r="AU3" s="69"/>
      <c r="AV3" s="69"/>
    </row>
    <row r="4" spans="1:48" ht="20.100000000000001" customHeight="1" x14ac:dyDescent="0.2">
      <c r="O4" s="51" t="s">
        <v>9</v>
      </c>
      <c r="P4" s="52"/>
      <c r="X4" s="51" t="s">
        <v>9</v>
      </c>
      <c r="Y4" s="52"/>
      <c r="AO4" s="51" t="s">
        <v>9</v>
      </c>
      <c r="AP4" s="52"/>
      <c r="AT4" s="50"/>
    </row>
    <row r="5" spans="1:48" ht="15" customHeight="1" x14ac:dyDescent="0.2">
      <c r="A5" s="34" t="s">
        <v>1</v>
      </c>
      <c r="B5" s="34"/>
      <c r="C5" s="34"/>
      <c r="D5" s="34"/>
      <c r="E5" s="35" t="s">
        <v>2</v>
      </c>
      <c r="F5" s="36" t="s">
        <v>3</v>
      </c>
      <c r="G5" s="36" t="s">
        <v>4</v>
      </c>
      <c r="H5" s="35" t="s">
        <v>5</v>
      </c>
      <c r="I5" s="34" t="s">
        <v>6</v>
      </c>
      <c r="J5" s="34"/>
      <c r="K5" s="37" t="s">
        <v>34</v>
      </c>
      <c r="L5" s="38" t="s">
        <v>54</v>
      </c>
      <c r="M5" s="38" t="s">
        <v>52</v>
      </c>
      <c r="P5" s="53" t="s">
        <v>10</v>
      </c>
      <c r="Q5" s="53" t="s">
        <v>2</v>
      </c>
      <c r="R5" s="53" t="s">
        <v>3</v>
      </c>
      <c r="S5" s="53" t="s">
        <v>11</v>
      </c>
      <c r="T5" s="54" t="s">
        <v>12</v>
      </c>
      <c r="U5" s="53" t="s">
        <v>13</v>
      </c>
      <c r="V5" s="53" t="s">
        <v>14</v>
      </c>
      <c r="W5" s="53" t="s">
        <v>15</v>
      </c>
      <c r="Y5" s="53" t="s">
        <v>10</v>
      </c>
      <c r="Z5" s="53" t="s">
        <v>2</v>
      </c>
      <c r="AA5" s="53" t="s">
        <v>3</v>
      </c>
      <c r="AB5" s="53" t="s">
        <v>11</v>
      </c>
      <c r="AC5" s="54" t="s">
        <v>64</v>
      </c>
      <c r="AD5" s="53" t="s">
        <v>13</v>
      </c>
      <c r="AE5" s="53"/>
      <c r="AF5" s="53" t="s">
        <v>15</v>
      </c>
      <c r="AG5" s="53" t="s">
        <v>16</v>
      </c>
      <c r="AP5" s="53" t="s">
        <v>10</v>
      </c>
      <c r="AQ5" s="53" t="s">
        <v>2</v>
      </c>
      <c r="AR5" s="53" t="s">
        <v>3</v>
      </c>
      <c r="AS5" s="53" t="s">
        <v>11</v>
      </c>
      <c r="AT5" s="53" t="s">
        <v>12</v>
      </c>
      <c r="AU5" s="53" t="s">
        <v>13</v>
      </c>
      <c r="AV5" s="53" t="s">
        <v>15</v>
      </c>
    </row>
    <row r="6" spans="1:48" ht="8.25" customHeight="1" x14ac:dyDescent="0.2"/>
    <row r="7" spans="1:48" ht="13.5" customHeight="1" x14ac:dyDescent="0.2">
      <c r="A7" s="39" t="s">
        <v>55</v>
      </c>
      <c r="B7" s="39"/>
      <c r="C7" s="39"/>
      <c r="D7" s="39"/>
      <c r="I7" s="40"/>
      <c r="J7" s="40"/>
    </row>
    <row r="8" spans="1:48" ht="13.5" customHeight="1" x14ac:dyDescent="0.2">
      <c r="A8" s="41" t="s">
        <v>66</v>
      </c>
      <c r="B8" s="41"/>
      <c r="C8" s="41"/>
      <c r="D8" s="41"/>
      <c r="E8" s="42">
        <v>231597</v>
      </c>
      <c r="F8" s="43">
        <v>3</v>
      </c>
      <c r="G8" s="43">
        <v>1</v>
      </c>
      <c r="H8" s="44" t="s">
        <v>67</v>
      </c>
      <c r="I8" s="41" t="s">
        <v>68</v>
      </c>
      <c r="J8" s="41"/>
      <c r="M8" s="45"/>
    </row>
    <row r="9" spans="1:48" ht="13.5" customHeight="1" x14ac:dyDescent="0.2">
      <c r="A9" s="61" t="s">
        <v>69</v>
      </c>
      <c r="B9" s="61"/>
      <c r="C9" s="61"/>
      <c r="D9" s="61"/>
      <c r="E9" s="42">
        <v>231740</v>
      </c>
      <c r="F9" s="43">
        <v>1</v>
      </c>
      <c r="G9" s="43">
        <v>1</v>
      </c>
      <c r="H9" s="44" t="s">
        <v>70</v>
      </c>
      <c r="I9" s="61" t="s">
        <v>71</v>
      </c>
      <c r="J9" s="61"/>
      <c r="M9" s="45"/>
    </row>
    <row r="10" spans="1:48" ht="13.5" customHeight="1" x14ac:dyDescent="0.2">
      <c r="A10" s="62" t="s">
        <v>69</v>
      </c>
      <c r="B10" s="63"/>
      <c r="C10" s="63"/>
      <c r="D10" s="64"/>
      <c r="E10" s="56">
        <v>231740</v>
      </c>
      <c r="F10" s="57">
        <v>1</v>
      </c>
      <c r="G10" s="57">
        <v>1</v>
      </c>
      <c r="H10" s="58" t="s">
        <v>70</v>
      </c>
      <c r="I10" s="65" t="s">
        <v>71</v>
      </c>
      <c r="J10" s="64"/>
      <c r="K10" s="59"/>
      <c r="L10" s="60" t="s">
        <v>54</v>
      </c>
      <c r="M10" s="45"/>
      <c r="N10" s="55"/>
    </row>
    <row r="11" spans="1:48" ht="13.5" customHeight="1" x14ac:dyDescent="0.2">
      <c r="A11" s="66" t="s">
        <v>7</v>
      </c>
      <c r="B11" s="66"/>
      <c r="C11" s="66"/>
      <c r="D11" s="66"/>
      <c r="I11" s="67"/>
      <c r="J11" s="67"/>
    </row>
    <row r="12" spans="1:48" ht="13.5" customHeight="1" x14ac:dyDescent="0.2">
      <c r="A12" s="41" t="s">
        <v>72</v>
      </c>
      <c r="B12" s="41"/>
      <c r="C12" s="41"/>
      <c r="D12" s="41"/>
      <c r="E12" s="42">
        <v>231613</v>
      </c>
      <c r="F12" s="43">
        <v>1</v>
      </c>
      <c r="G12" s="43">
        <v>1</v>
      </c>
      <c r="H12" s="44" t="s">
        <v>62</v>
      </c>
      <c r="I12" s="41" t="s">
        <v>68</v>
      </c>
      <c r="J12" s="41"/>
      <c r="M12" s="45"/>
    </row>
    <row r="13" spans="1:48" ht="13.5" customHeight="1" x14ac:dyDescent="0.2">
      <c r="A13" s="41" t="s">
        <v>72</v>
      </c>
      <c r="B13" s="41"/>
      <c r="C13" s="41"/>
      <c r="D13" s="41"/>
      <c r="E13" s="42">
        <v>231613</v>
      </c>
      <c r="F13" s="43">
        <v>2</v>
      </c>
      <c r="G13" s="43">
        <v>1</v>
      </c>
      <c r="H13" s="44" t="s">
        <v>38</v>
      </c>
      <c r="I13" s="41" t="s">
        <v>68</v>
      </c>
      <c r="J13" s="41"/>
      <c r="M13" s="45"/>
    </row>
    <row r="14" spans="1:48" ht="13.5" customHeight="1" x14ac:dyDescent="0.2">
      <c r="A14" s="41" t="s">
        <v>72</v>
      </c>
      <c r="B14" s="41"/>
      <c r="C14" s="41"/>
      <c r="D14" s="41"/>
      <c r="E14" s="42">
        <v>231613</v>
      </c>
      <c r="F14" s="43">
        <v>3</v>
      </c>
      <c r="G14" s="43">
        <v>1</v>
      </c>
      <c r="H14" s="44" t="s">
        <v>73</v>
      </c>
      <c r="I14" s="41" t="s">
        <v>68</v>
      </c>
      <c r="J14" s="41"/>
      <c r="M14" s="45"/>
    </row>
    <row r="15" spans="1:48" ht="13.5" customHeight="1" x14ac:dyDescent="0.2">
      <c r="A15" s="41" t="s">
        <v>72</v>
      </c>
      <c r="B15" s="41"/>
      <c r="C15" s="41"/>
      <c r="D15" s="41"/>
      <c r="E15" s="42">
        <v>231613</v>
      </c>
      <c r="F15" s="43">
        <v>4</v>
      </c>
      <c r="G15" s="43">
        <v>1</v>
      </c>
      <c r="H15" s="44" t="s">
        <v>74</v>
      </c>
      <c r="I15" s="41" t="s">
        <v>68</v>
      </c>
      <c r="J15" s="41"/>
      <c r="M15" s="45"/>
    </row>
    <row r="16" spans="1:48" ht="13.5" customHeight="1" x14ac:dyDescent="0.2">
      <c r="A16" s="41" t="s">
        <v>75</v>
      </c>
      <c r="B16" s="41"/>
      <c r="C16" s="41"/>
      <c r="D16" s="41"/>
      <c r="E16" s="42">
        <v>231680</v>
      </c>
      <c r="F16" s="43">
        <v>1</v>
      </c>
      <c r="G16" s="43">
        <v>1</v>
      </c>
      <c r="H16" s="44" t="s">
        <v>40</v>
      </c>
      <c r="I16" s="41" t="s">
        <v>37</v>
      </c>
      <c r="J16" s="41"/>
      <c r="M16" s="45"/>
    </row>
    <row r="17" spans="1:13" ht="13.5" customHeight="1" x14ac:dyDescent="0.2">
      <c r="A17" s="41" t="s">
        <v>76</v>
      </c>
      <c r="B17" s="41"/>
      <c r="C17" s="41"/>
      <c r="D17" s="41"/>
      <c r="E17" s="42">
        <v>231681</v>
      </c>
      <c r="F17" s="43">
        <v>1</v>
      </c>
      <c r="G17" s="43">
        <v>1</v>
      </c>
      <c r="H17" s="44" t="s">
        <v>77</v>
      </c>
      <c r="I17" s="41" t="s">
        <v>78</v>
      </c>
      <c r="J17" s="41"/>
      <c r="M17" s="45"/>
    </row>
    <row r="18" spans="1:13" ht="13.5" customHeight="1" x14ac:dyDescent="0.2">
      <c r="A18" s="41" t="s">
        <v>76</v>
      </c>
      <c r="B18" s="41"/>
      <c r="C18" s="41"/>
      <c r="D18" s="41"/>
      <c r="E18" s="42">
        <v>231681</v>
      </c>
      <c r="F18" s="43">
        <v>2</v>
      </c>
      <c r="G18" s="43">
        <v>1</v>
      </c>
      <c r="H18" s="44" t="s">
        <v>79</v>
      </c>
      <c r="I18" s="41" t="s">
        <v>78</v>
      </c>
      <c r="J18" s="41"/>
      <c r="M18" s="45"/>
    </row>
    <row r="19" spans="1:13" ht="13.5" customHeight="1" x14ac:dyDescent="0.2">
      <c r="A19" s="41" t="s">
        <v>76</v>
      </c>
      <c r="B19" s="41"/>
      <c r="C19" s="41"/>
      <c r="D19" s="41"/>
      <c r="E19" s="42">
        <v>231681</v>
      </c>
      <c r="F19" s="43">
        <v>3</v>
      </c>
      <c r="G19" s="43">
        <v>1</v>
      </c>
      <c r="H19" s="44" t="s">
        <v>77</v>
      </c>
      <c r="I19" s="41" t="s">
        <v>78</v>
      </c>
      <c r="J19" s="41"/>
      <c r="M19" s="45"/>
    </row>
    <row r="20" spans="1:13" ht="13.5" customHeight="1" x14ac:dyDescent="0.2">
      <c r="A20" s="41" t="s">
        <v>80</v>
      </c>
      <c r="B20" s="41"/>
      <c r="C20" s="41"/>
      <c r="D20" s="41"/>
      <c r="E20" s="42">
        <v>231705</v>
      </c>
      <c r="F20" s="43">
        <v>1</v>
      </c>
      <c r="G20" s="43">
        <v>4</v>
      </c>
      <c r="H20" s="44" t="s">
        <v>43</v>
      </c>
      <c r="I20" s="41" t="s">
        <v>42</v>
      </c>
      <c r="J20" s="41"/>
      <c r="M20" s="45"/>
    </row>
    <row r="21" spans="1:13" ht="13.5" customHeight="1" x14ac:dyDescent="0.2">
      <c r="A21" s="41" t="s">
        <v>81</v>
      </c>
      <c r="B21" s="41"/>
      <c r="C21" s="41"/>
      <c r="D21" s="41"/>
      <c r="E21" s="42">
        <v>231706</v>
      </c>
      <c r="F21" s="43">
        <v>1</v>
      </c>
      <c r="G21" s="43">
        <v>1</v>
      </c>
      <c r="H21" s="44" t="s">
        <v>41</v>
      </c>
      <c r="I21" s="41" t="s">
        <v>42</v>
      </c>
      <c r="J21" s="41"/>
      <c r="M21" s="45"/>
    </row>
    <row r="22" spans="1:13" ht="13.5" customHeight="1" x14ac:dyDescent="0.2">
      <c r="A22" s="41" t="s">
        <v>81</v>
      </c>
      <c r="B22" s="41"/>
      <c r="C22" s="41"/>
      <c r="D22" s="41"/>
      <c r="E22" s="42">
        <v>231706</v>
      </c>
      <c r="F22" s="43">
        <v>2</v>
      </c>
      <c r="G22" s="43">
        <v>2</v>
      </c>
      <c r="H22" s="44" t="s">
        <v>43</v>
      </c>
      <c r="I22" s="41" t="s">
        <v>42</v>
      </c>
      <c r="J22" s="41"/>
      <c r="M22" s="45"/>
    </row>
    <row r="23" spans="1:13" ht="13.5" customHeight="1" x14ac:dyDescent="0.2">
      <c r="A23" s="41" t="s">
        <v>82</v>
      </c>
      <c r="B23" s="41"/>
      <c r="C23" s="41"/>
      <c r="D23" s="41"/>
      <c r="E23" s="42">
        <v>231708</v>
      </c>
      <c r="F23" s="43">
        <v>1</v>
      </c>
      <c r="G23" s="43">
        <v>1</v>
      </c>
      <c r="H23" s="44" t="s">
        <v>83</v>
      </c>
      <c r="I23" s="41" t="s">
        <v>60</v>
      </c>
      <c r="J23" s="41"/>
      <c r="M23" s="45"/>
    </row>
    <row r="24" spans="1:13" ht="13.5" customHeight="1" x14ac:dyDescent="0.2">
      <c r="A24" s="41" t="s">
        <v>84</v>
      </c>
      <c r="B24" s="41"/>
      <c r="C24" s="41"/>
      <c r="D24" s="41"/>
      <c r="E24" s="42">
        <v>231709</v>
      </c>
      <c r="F24" s="43">
        <v>1</v>
      </c>
      <c r="G24" s="43">
        <v>1</v>
      </c>
      <c r="H24" s="44" t="s">
        <v>39</v>
      </c>
      <c r="I24" s="41" t="s">
        <v>60</v>
      </c>
      <c r="J24" s="41"/>
      <c r="M24" s="45"/>
    </row>
    <row r="25" spans="1:13" ht="13.5" customHeight="1" x14ac:dyDescent="0.2">
      <c r="A25" s="41" t="s">
        <v>84</v>
      </c>
      <c r="B25" s="41"/>
      <c r="C25" s="41"/>
      <c r="D25" s="41"/>
      <c r="E25" s="42">
        <v>231709</v>
      </c>
      <c r="F25" s="43">
        <v>2</v>
      </c>
      <c r="G25" s="43">
        <v>1</v>
      </c>
      <c r="H25" s="44" t="s">
        <v>85</v>
      </c>
      <c r="I25" s="41" t="s">
        <v>60</v>
      </c>
      <c r="J25" s="41"/>
      <c r="M25" s="45"/>
    </row>
    <row r="26" spans="1:13" ht="13.5" customHeight="1" x14ac:dyDescent="0.2">
      <c r="A26" s="41" t="s">
        <v>86</v>
      </c>
      <c r="B26" s="41"/>
      <c r="C26" s="41"/>
      <c r="D26" s="41"/>
      <c r="E26" s="42">
        <v>231710</v>
      </c>
      <c r="F26" s="43">
        <v>1</v>
      </c>
      <c r="G26" s="43">
        <v>2</v>
      </c>
      <c r="H26" s="44" t="s">
        <v>41</v>
      </c>
      <c r="I26" s="41" t="s">
        <v>42</v>
      </c>
      <c r="J26" s="41"/>
      <c r="M26" s="45"/>
    </row>
    <row r="27" spans="1:13" ht="13.5" customHeight="1" x14ac:dyDescent="0.2">
      <c r="A27" s="41" t="s">
        <v>86</v>
      </c>
      <c r="B27" s="41"/>
      <c r="C27" s="41"/>
      <c r="D27" s="41"/>
      <c r="E27" s="42">
        <v>231710</v>
      </c>
      <c r="F27" s="43">
        <v>2</v>
      </c>
      <c r="G27" s="43">
        <v>4</v>
      </c>
      <c r="H27" s="44" t="s">
        <v>43</v>
      </c>
      <c r="I27" s="41" t="s">
        <v>42</v>
      </c>
      <c r="J27" s="41"/>
      <c r="M27" s="45"/>
    </row>
    <row r="28" spans="1:13" ht="13.5" customHeight="1" x14ac:dyDescent="0.2">
      <c r="A28" s="41" t="s">
        <v>87</v>
      </c>
      <c r="B28" s="41"/>
      <c r="C28" s="41"/>
      <c r="D28" s="41"/>
      <c r="E28" s="42">
        <v>231711</v>
      </c>
      <c r="F28" s="43">
        <v>1</v>
      </c>
      <c r="G28" s="43">
        <v>1</v>
      </c>
      <c r="H28" s="44" t="s">
        <v>88</v>
      </c>
      <c r="I28" s="41" t="s">
        <v>61</v>
      </c>
      <c r="J28" s="41"/>
      <c r="M28" s="45"/>
    </row>
    <row r="29" spans="1:13" ht="13.5" customHeight="1" x14ac:dyDescent="0.2">
      <c r="A29" s="41" t="s">
        <v>89</v>
      </c>
      <c r="B29" s="41"/>
      <c r="C29" s="41"/>
      <c r="D29" s="41"/>
      <c r="E29" s="42">
        <v>231712</v>
      </c>
      <c r="F29" s="43">
        <v>1</v>
      </c>
      <c r="G29" s="43">
        <v>1</v>
      </c>
      <c r="H29" s="44" t="s">
        <v>62</v>
      </c>
      <c r="I29" s="41" t="s">
        <v>60</v>
      </c>
      <c r="J29" s="41"/>
      <c r="M29" s="45"/>
    </row>
    <row r="30" spans="1:13" ht="13.5" customHeight="1" x14ac:dyDescent="0.2">
      <c r="A30" s="41" t="s">
        <v>90</v>
      </c>
      <c r="B30" s="41"/>
      <c r="C30" s="41"/>
      <c r="D30" s="41"/>
      <c r="E30" s="42">
        <v>231714</v>
      </c>
      <c r="F30" s="43">
        <v>1</v>
      </c>
      <c r="G30" s="43">
        <v>1</v>
      </c>
      <c r="H30" s="44" t="s">
        <v>91</v>
      </c>
      <c r="I30" s="41" t="s">
        <v>92</v>
      </c>
      <c r="J30" s="41"/>
      <c r="M30" s="45"/>
    </row>
    <row r="31" spans="1:13" ht="13.5" customHeight="1" x14ac:dyDescent="0.2">
      <c r="A31" s="41" t="s">
        <v>93</v>
      </c>
      <c r="B31" s="41"/>
      <c r="C31" s="41"/>
      <c r="D31" s="41"/>
      <c r="E31" s="42">
        <v>231716</v>
      </c>
      <c r="F31" s="43">
        <v>1</v>
      </c>
      <c r="G31" s="43">
        <v>1</v>
      </c>
      <c r="H31" s="44" t="s">
        <v>57</v>
      </c>
      <c r="I31" s="41" t="s">
        <v>92</v>
      </c>
      <c r="J31" s="41"/>
      <c r="M31" s="45"/>
    </row>
    <row r="32" spans="1:13" ht="13.5" customHeight="1" x14ac:dyDescent="0.2">
      <c r="A32" s="41" t="s">
        <v>93</v>
      </c>
      <c r="B32" s="41"/>
      <c r="C32" s="41"/>
      <c r="D32" s="41"/>
      <c r="E32" s="42">
        <v>231716</v>
      </c>
      <c r="F32" s="43">
        <v>2</v>
      </c>
      <c r="G32" s="43">
        <v>1</v>
      </c>
      <c r="H32" s="44" t="s">
        <v>39</v>
      </c>
      <c r="I32" s="41" t="s">
        <v>92</v>
      </c>
      <c r="J32" s="41"/>
      <c r="M32" s="45"/>
    </row>
    <row r="33" spans="1:13" ht="13.5" customHeight="1" x14ac:dyDescent="0.2">
      <c r="A33" s="41" t="s">
        <v>94</v>
      </c>
      <c r="B33" s="41"/>
      <c r="C33" s="41"/>
      <c r="D33" s="41"/>
      <c r="E33" s="42">
        <v>231717</v>
      </c>
      <c r="F33" s="43">
        <v>1</v>
      </c>
      <c r="G33" s="43">
        <v>1</v>
      </c>
      <c r="H33" s="44" t="s">
        <v>59</v>
      </c>
      <c r="I33" s="41" t="s">
        <v>60</v>
      </c>
      <c r="J33" s="41"/>
      <c r="M33" s="45"/>
    </row>
    <row r="34" spans="1:13" ht="13.5" customHeight="1" x14ac:dyDescent="0.2">
      <c r="A34" s="41" t="s">
        <v>95</v>
      </c>
      <c r="B34" s="41"/>
      <c r="C34" s="41"/>
      <c r="D34" s="41"/>
      <c r="E34" s="42">
        <v>231718</v>
      </c>
      <c r="F34" s="43">
        <v>1</v>
      </c>
      <c r="G34" s="43">
        <v>1</v>
      </c>
      <c r="H34" s="44" t="s">
        <v>63</v>
      </c>
      <c r="I34" s="41" t="s">
        <v>60</v>
      </c>
      <c r="J34" s="41"/>
      <c r="M34" s="45"/>
    </row>
    <row r="35" spans="1:13" ht="13.5" customHeight="1" x14ac:dyDescent="0.2">
      <c r="A35" s="41" t="s">
        <v>96</v>
      </c>
      <c r="B35" s="41"/>
      <c r="C35" s="41"/>
      <c r="D35" s="41"/>
      <c r="E35" s="42">
        <v>231719</v>
      </c>
      <c r="F35" s="43">
        <v>1</v>
      </c>
      <c r="G35" s="43">
        <v>1</v>
      </c>
      <c r="H35" s="44" t="s">
        <v>41</v>
      </c>
      <c r="I35" s="41" t="s">
        <v>60</v>
      </c>
      <c r="J35" s="41"/>
      <c r="M35" s="45"/>
    </row>
    <row r="36" spans="1:13" ht="13.5" customHeight="1" x14ac:dyDescent="0.2">
      <c r="A36" s="41" t="s">
        <v>96</v>
      </c>
      <c r="B36" s="41"/>
      <c r="C36" s="41"/>
      <c r="D36" s="41"/>
      <c r="E36" s="42">
        <v>231719</v>
      </c>
      <c r="F36" s="43">
        <v>2</v>
      </c>
      <c r="G36" s="43">
        <v>1</v>
      </c>
      <c r="H36" s="44" t="s">
        <v>97</v>
      </c>
      <c r="I36" s="41" t="s">
        <v>60</v>
      </c>
      <c r="J36" s="41"/>
      <c r="M36" s="45"/>
    </row>
    <row r="37" spans="1:13" ht="13.5" customHeight="1" x14ac:dyDescent="0.2">
      <c r="A37" s="41" t="s">
        <v>98</v>
      </c>
      <c r="B37" s="41"/>
      <c r="C37" s="41"/>
      <c r="D37" s="41"/>
      <c r="E37" s="42">
        <v>231720</v>
      </c>
      <c r="F37" s="43">
        <v>1</v>
      </c>
      <c r="G37" s="43">
        <v>1</v>
      </c>
      <c r="H37" s="44" t="s">
        <v>41</v>
      </c>
      <c r="I37" s="41" t="s">
        <v>60</v>
      </c>
      <c r="J37" s="41"/>
      <c r="M37" s="45"/>
    </row>
    <row r="38" spans="1:13" ht="13.5" customHeight="1" x14ac:dyDescent="0.2">
      <c r="A38" s="41" t="s">
        <v>99</v>
      </c>
      <c r="B38" s="41"/>
      <c r="C38" s="41"/>
      <c r="D38" s="41"/>
      <c r="E38" s="42">
        <v>231721</v>
      </c>
      <c r="F38" s="43">
        <v>1</v>
      </c>
      <c r="G38" s="43">
        <v>1</v>
      </c>
      <c r="H38" s="44" t="s">
        <v>41</v>
      </c>
      <c r="I38" s="41" t="s">
        <v>42</v>
      </c>
      <c r="J38" s="41"/>
      <c r="M38" s="45"/>
    </row>
    <row r="39" spans="1:13" ht="13.5" customHeight="1" x14ac:dyDescent="0.2">
      <c r="A39" s="41" t="s">
        <v>99</v>
      </c>
      <c r="B39" s="41"/>
      <c r="C39" s="41"/>
      <c r="D39" s="41"/>
      <c r="E39" s="42">
        <v>231721</v>
      </c>
      <c r="F39" s="43">
        <v>2</v>
      </c>
      <c r="G39" s="43">
        <v>2</v>
      </c>
      <c r="H39" s="44" t="s">
        <v>43</v>
      </c>
      <c r="I39" s="41" t="s">
        <v>42</v>
      </c>
      <c r="J39" s="41"/>
      <c r="M39" s="45"/>
    </row>
    <row r="40" spans="1:13" ht="13.5" customHeight="1" x14ac:dyDescent="0.2">
      <c r="A40" s="41" t="s">
        <v>100</v>
      </c>
      <c r="B40" s="41"/>
      <c r="C40" s="41"/>
      <c r="D40" s="41"/>
      <c r="E40" s="42">
        <v>231722</v>
      </c>
      <c r="F40" s="43">
        <v>1</v>
      </c>
      <c r="G40" s="43">
        <v>1</v>
      </c>
      <c r="H40" s="44" t="s">
        <v>44</v>
      </c>
      <c r="I40" s="41" t="s">
        <v>36</v>
      </c>
      <c r="J40" s="41"/>
      <c r="M40" s="45"/>
    </row>
    <row r="41" spans="1:13" ht="13.5" customHeight="1" x14ac:dyDescent="0.2">
      <c r="A41" s="41" t="s">
        <v>101</v>
      </c>
      <c r="B41" s="41"/>
      <c r="C41" s="41"/>
      <c r="D41" s="41"/>
      <c r="E41" s="42">
        <v>231724</v>
      </c>
      <c r="F41" s="43">
        <v>1</v>
      </c>
      <c r="G41" s="43">
        <v>1</v>
      </c>
      <c r="H41" s="44" t="s">
        <v>102</v>
      </c>
      <c r="I41" s="41" t="s">
        <v>92</v>
      </c>
      <c r="J41" s="41"/>
      <c r="M41" s="45"/>
    </row>
    <row r="42" spans="1:13" ht="13.5" customHeight="1" x14ac:dyDescent="0.2">
      <c r="A42" s="41" t="s">
        <v>101</v>
      </c>
      <c r="B42" s="41"/>
      <c r="C42" s="41"/>
      <c r="D42" s="41"/>
      <c r="E42" s="42">
        <v>231724</v>
      </c>
      <c r="F42" s="43">
        <v>2</v>
      </c>
      <c r="G42" s="43">
        <v>1</v>
      </c>
      <c r="H42" s="44" t="s">
        <v>103</v>
      </c>
      <c r="I42" s="41" t="s">
        <v>92</v>
      </c>
      <c r="J42" s="41"/>
      <c r="M42" s="45"/>
    </row>
    <row r="43" spans="1:13" ht="13.5" customHeight="1" x14ac:dyDescent="0.2">
      <c r="A43" s="41" t="s">
        <v>104</v>
      </c>
      <c r="B43" s="41"/>
      <c r="C43" s="41"/>
      <c r="D43" s="41"/>
      <c r="E43" s="42">
        <v>231725</v>
      </c>
      <c r="F43" s="43">
        <v>1</v>
      </c>
      <c r="G43" s="43">
        <v>1</v>
      </c>
      <c r="H43" s="44" t="s">
        <v>105</v>
      </c>
      <c r="I43" s="41" t="s">
        <v>106</v>
      </c>
      <c r="J43" s="41"/>
      <c r="M43" s="45"/>
    </row>
    <row r="44" spans="1:13" ht="13.5" customHeight="1" x14ac:dyDescent="0.2">
      <c r="A44" s="41" t="s">
        <v>104</v>
      </c>
      <c r="B44" s="41"/>
      <c r="C44" s="41"/>
      <c r="D44" s="41"/>
      <c r="E44" s="42">
        <v>231725</v>
      </c>
      <c r="F44" s="43">
        <v>2</v>
      </c>
      <c r="G44" s="43">
        <v>1</v>
      </c>
      <c r="H44" s="44" t="s">
        <v>107</v>
      </c>
      <c r="I44" s="41" t="s">
        <v>106</v>
      </c>
      <c r="J44" s="41"/>
      <c r="M44" s="45"/>
    </row>
    <row r="45" spans="1:13" ht="13.5" customHeight="1" x14ac:dyDescent="0.2">
      <c r="A45" s="41" t="s">
        <v>108</v>
      </c>
      <c r="B45" s="41"/>
      <c r="C45" s="41"/>
      <c r="D45" s="41"/>
      <c r="E45" s="42">
        <v>231726</v>
      </c>
      <c r="F45" s="43">
        <v>1</v>
      </c>
      <c r="G45" s="43">
        <v>1</v>
      </c>
      <c r="H45" s="44" t="s">
        <v>56</v>
      </c>
      <c r="I45" s="41" t="s">
        <v>106</v>
      </c>
      <c r="J45" s="41"/>
      <c r="M45" s="45"/>
    </row>
    <row r="46" spans="1:13" ht="13.5" customHeight="1" x14ac:dyDescent="0.2">
      <c r="A46" s="41" t="s">
        <v>108</v>
      </c>
      <c r="B46" s="41"/>
      <c r="C46" s="41"/>
      <c r="D46" s="41"/>
      <c r="E46" s="42">
        <v>231726</v>
      </c>
      <c r="F46" s="43">
        <v>2</v>
      </c>
      <c r="G46" s="43">
        <v>1</v>
      </c>
      <c r="H46" s="44" t="s">
        <v>109</v>
      </c>
      <c r="I46" s="41" t="s">
        <v>106</v>
      </c>
      <c r="J46" s="41"/>
      <c r="M46" s="45"/>
    </row>
    <row r="47" spans="1:13" ht="13.5" customHeight="1" x14ac:dyDescent="0.2">
      <c r="A47" s="41" t="s">
        <v>108</v>
      </c>
      <c r="B47" s="41"/>
      <c r="C47" s="41"/>
      <c r="D47" s="41"/>
      <c r="E47" s="42">
        <v>231726</v>
      </c>
      <c r="F47" s="43">
        <v>3</v>
      </c>
      <c r="G47" s="43">
        <v>1</v>
      </c>
      <c r="H47" s="44" t="s">
        <v>110</v>
      </c>
      <c r="I47" s="41" t="s">
        <v>106</v>
      </c>
      <c r="J47" s="41"/>
      <c r="M47" s="45"/>
    </row>
    <row r="48" spans="1:13" ht="13.5" customHeight="1" x14ac:dyDescent="0.2">
      <c r="A48" s="41" t="s">
        <v>108</v>
      </c>
      <c r="B48" s="41"/>
      <c r="C48" s="41"/>
      <c r="D48" s="41"/>
      <c r="E48" s="42">
        <v>231726</v>
      </c>
      <c r="F48" s="43">
        <v>4</v>
      </c>
      <c r="G48" s="43">
        <v>1</v>
      </c>
      <c r="H48" s="44" t="s">
        <v>111</v>
      </c>
      <c r="I48" s="41" t="s">
        <v>106</v>
      </c>
      <c r="J48" s="41"/>
      <c r="M48" s="45"/>
    </row>
    <row r="49" spans="1:14" ht="13.5" customHeight="1" x14ac:dyDescent="0.2">
      <c r="A49" s="41" t="s">
        <v>112</v>
      </c>
      <c r="B49" s="41"/>
      <c r="C49" s="41"/>
      <c r="D49" s="41"/>
      <c r="E49" s="42">
        <v>231727</v>
      </c>
      <c r="F49" s="43">
        <v>1</v>
      </c>
      <c r="G49" s="43">
        <v>1</v>
      </c>
      <c r="H49" s="44" t="s">
        <v>102</v>
      </c>
      <c r="I49" s="41" t="s">
        <v>92</v>
      </c>
      <c r="J49" s="41"/>
      <c r="M49" s="45"/>
    </row>
    <row r="50" spans="1:14" ht="13.5" customHeight="1" x14ac:dyDescent="0.2">
      <c r="A50" s="41" t="s">
        <v>113</v>
      </c>
      <c r="B50" s="41"/>
      <c r="C50" s="41"/>
      <c r="D50" s="41"/>
      <c r="E50" s="42">
        <v>231730</v>
      </c>
      <c r="F50" s="43">
        <v>1</v>
      </c>
      <c r="G50" s="43">
        <v>1</v>
      </c>
      <c r="H50" s="44" t="s">
        <v>114</v>
      </c>
      <c r="I50" s="41" t="s">
        <v>45</v>
      </c>
      <c r="J50" s="41"/>
      <c r="M50" s="45"/>
    </row>
    <row r="51" spans="1:14" ht="13.5" customHeight="1" x14ac:dyDescent="0.2">
      <c r="A51" s="41" t="s">
        <v>115</v>
      </c>
      <c r="B51" s="41"/>
      <c r="C51" s="41"/>
      <c r="D51" s="41"/>
      <c r="E51" s="42">
        <v>231731</v>
      </c>
      <c r="F51" s="43">
        <v>1</v>
      </c>
      <c r="G51" s="43">
        <v>1</v>
      </c>
      <c r="H51" s="44" t="s">
        <v>107</v>
      </c>
      <c r="I51" s="41" t="s">
        <v>106</v>
      </c>
      <c r="J51" s="41"/>
      <c r="M51" s="45"/>
    </row>
    <row r="52" spans="1:14" ht="13.5" customHeight="1" x14ac:dyDescent="0.2">
      <c r="A52" s="41" t="s">
        <v>116</v>
      </c>
      <c r="B52" s="41"/>
      <c r="C52" s="41"/>
      <c r="D52" s="41"/>
      <c r="E52" s="42">
        <v>231732</v>
      </c>
      <c r="F52" s="43">
        <v>1</v>
      </c>
      <c r="G52" s="43">
        <v>1</v>
      </c>
      <c r="H52" s="44" t="s">
        <v>77</v>
      </c>
      <c r="I52" s="41" t="s">
        <v>106</v>
      </c>
      <c r="J52" s="41"/>
      <c r="M52" s="45"/>
    </row>
    <row r="53" spans="1:14" ht="13.5" customHeight="1" x14ac:dyDescent="0.2">
      <c r="A53" s="41" t="s">
        <v>117</v>
      </c>
      <c r="B53" s="41"/>
      <c r="C53" s="41"/>
      <c r="D53" s="41"/>
      <c r="E53" s="42">
        <v>231733</v>
      </c>
      <c r="F53" s="43">
        <v>1</v>
      </c>
      <c r="G53" s="43">
        <v>1</v>
      </c>
      <c r="H53" s="44" t="s">
        <v>77</v>
      </c>
      <c r="I53" s="41" t="s">
        <v>106</v>
      </c>
      <c r="J53" s="41"/>
      <c r="M53" s="45"/>
    </row>
    <row r="54" spans="1:14" ht="13.5" customHeight="1" x14ac:dyDescent="0.2">
      <c r="A54" s="41" t="s">
        <v>118</v>
      </c>
      <c r="B54" s="41"/>
      <c r="C54" s="41"/>
      <c r="D54" s="41"/>
      <c r="E54" s="42">
        <v>231734</v>
      </c>
      <c r="F54" s="43">
        <v>1</v>
      </c>
      <c r="G54" s="43">
        <v>1</v>
      </c>
      <c r="H54" s="44" t="s">
        <v>119</v>
      </c>
      <c r="I54" s="41" t="s">
        <v>106</v>
      </c>
      <c r="J54" s="41"/>
      <c r="M54" s="45"/>
    </row>
    <row r="55" spans="1:14" ht="13.5" customHeight="1" x14ac:dyDescent="0.2">
      <c r="A55" s="41" t="s">
        <v>120</v>
      </c>
      <c r="B55" s="41"/>
      <c r="C55" s="41"/>
      <c r="D55" s="41"/>
      <c r="E55" s="42">
        <v>231735</v>
      </c>
      <c r="F55" s="43">
        <v>1</v>
      </c>
      <c r="G55" s="43">
        <v>1</v>
      </c>
      <c r="H55" s="44" t="s">
        <v>109</v>
      </c>
      <c r="I55" s="41" t="s">
        <v>106</v>
      </c>
      <c r="J55" s="41"/>
      <c r="M55" s="45"/>
    </row>
    <row r="56" spans="1:14" ht="13.5" customHeight="1" x14ac:dyDescent="0.2">
      <c r="A56" s="41" t="s">
        <v>121</v>
      </c>
      <c r="B56" s="41"/>
      <c r="C56" s="41"/>
      <c r="D56" s="41"/>
      <c r="E56" s="42">
        <v>231736</v>
      </c>
      <c r="F56" s="43">
        <v>1</v>
      </c>
      <c r="G56" s="43">
        <v>1</v>
      </c>
      <c r="H56" s="44" t="s">
        <v>109</v>
      </c>
      <c r="I56" s="41" t="s">
        <v>106</v>
      </c>
      <c r="J56" s="41"/>
      <c r="M56" s="45"/>
    </row>
    <row r="57" spans="1:14" ht="13.5" customHeight="1" x14ac:dyDescent="0.2">
      <c r="A57" s="41" t="s">
        <v>122</v>
      </c>
      <c r="B57" s="41"/>
      <c r="C57" s="41"/>
      <c r="D57" s="41"/>
      <c r="E57" s="42">
        <v>231737</v>
      </c>
      <c r="F57" s="43">
        <v>1</v>
      </c>
      <c r="G57" s="43">
        <v>1</v>
      </c>
      <c r="H57" s="44" t="s">
        <v>123</v>
      </c>
      <c r="I57" s="41" t="s">
        <v>60</v>
      </c>
      <c r="J57" s="41"/>
      <c r="M57" s="45"/>
    </row>
    <row r="58" spans="1:14" ht="13.5" customHeight="1" x14ac:dyDescent="0.2">
      <c r="A58" s="41" t="s">
        <v>124</v>
      </c>
      <c r="B58" s="41"/>
      <c r="C58" s="41"/>
      <c r="D58" s="41"/>
      <c r="E58" s="42">
        <v>231738</v>
      </c>
      <c r="F58" s="43">
        <v>1</v>
      </c>
      <c r="G58" s="43">
        <v>1</v>
      </c>
      <c r="H58" s="44" t="s">
        <v>105</v>
      </c>
      <c r="I58" s="41" t="s">
        <v>106</v>
      </c>
      <c r="J58" s="41"/>
      <c r="M58" s="45"/>
    </row>
    <row r="59" spans="1:14" ht="13.5" customHeight="1" x14ac:dyDescent="0.2">
      <c r="A59" s="61" t="s">
        <v>125</v>
      </c>
      <c r="B59" s="61"/>
      <c r="C59" s="61"/>
      <c r="D59" s="61"/>
      <c r="E59" s="42">
        <v>231739</v>
      </c>
      <c r="F59" s="43">
        <v>1</v>
      </c>
      <c r="G59" s="43">
        <v>1</v>
      </c>
      <c r="H59" s="44" t="s">
        <v>58</v>
      </c>
      <c r="I59" s="61" t="s">
        <v>126</v>
      </c>
      <c r="J59" s="61"/>
      <c r="M59" s="45"/>
    </row>
    <row r="60" spans="1:14" ht="13.5" customHeight="1" x14ac:dyDescent="0.2">
      <c r="A60" s="62" t="s">
        <v>75</v>
      </c>
      <c r="B60" s="63"/>
      <c r="C60" s="63"/>
      <c r="D60" s="64"/>
      <c r="E60" s="56">
        <v>231680</v>
      </c>
      <c r="F60" s="57">
        <v>1</v>
      </c>
      <c r="G60" s="57">
        <v>1</v>
      </c>
      <c r="H60" s="58" t="s">
        <v>40</v>
      </c>
      <c r="I60" s="65" t="s">
        <v>37</v>
      </c>
      <c r="J60" s="64"/>
      <c r="K60" s="59"/>
      <c r="L60" s="60" t="s">
        <v>54</v>
      </c>
      <c r="M60" s="45"/>
      <c r="N60" s="55"/>
    </row>
    <row r="61" spans="1:14" ht="13.5" customHeight="1" x14ac:dyDescent="0.2">
      <c r="A61" s="62" t="s">
        <v>76</v>
      </c>
      <c r="B61" s="63"/>
      <c r="C61" s="63"/>
      <c r="D61" s="64"/>
      <c r="E61" s="56">
        <v>231681</v>
      </c>
      <c r="F61" s="57">
        <v>1</v>
      </c>
      <c r="G61" s="57">
        <v>1</v>
      </c>
      <c r="H61" s="58" t="s">
        <v>77</v>
      </c>
      <c r="I61" s="65" t="s">
        <v>78</v>
      </c>
      <c r="J61" s="64"/>
      <c r="K61" s="59"/>
      <c r="L61" s="60" t="s">
        <v>54</v>
      </c>
      <c r="M61" s="45"/>
      <c r="N61" s="55"/>
    </row>
    <row r="62" spans="1:14" ht="13.5" customHeight="1" x14ac:dyDescent="0.2">
      <c r="A62" s="62" t="s">
        <v>76</v>
      </c>
      <c r="B62" s="63"/>
      <c r="C62" s="63"/>
      <c r="D62" s="64"/>
      <c r="E62" s="56">
        <v>231681</v>
      </c>
      <c r="F62" s="57">
        <v>2</v>
      </c>
      <c r="G62" s="57">
        <v>1</v>
      </c>
      <c r="H62" s="58" t="s">
        <v>79</v>
      </c>
      <c r="I62" s="65" t="s">
        <v>78</v>
      </c>
      <c r="J62" s="64"/>
      <c r="K62" s="59"/>
      <c r="L62" s="60" t="s">
        <v>54</v>
      </c>
      <c r="M62" s="45"/>
      <c r="N62" s="55"/>
    </row>
    <row r="63" spans="1:14" ht="13.5" customHeight="1" x14ac:dyDescent="0.2">
      <c r="A63" s="62" t="s">
        <v>76</v>
      </c>
      <c r="B63" s="63"/>
      <c r="C63" s="63"/>
      <c r="D63" s="64"/>
      <c r="E63" s="56">
        <v>231681</v>
      </c>
      <c r="F63" s="57">
        <v>3</v>
      </c>
      <c r="G63" s="57">
        <v>1</v>
      </c>
      <c r="H63" s="58" t="s">
        <v>77</v>
      </c>
      <c r="I63" s="65" t="s">
        <v>78</v>
      </c>
      <c r="J63" s="64"/>
      <c r="K63" s="59"/>
      <c r="L63" s="60" t="s">
        <v>54</v>
      </c>
      <c r="M63" s="45"/>
      <c r="N63" s="55"/>
    </row>
    <row r="64" spans="1:14" ht="13.5" customHeight="1" x14ac:dyDescent="0.2">
      <c r="A64" s="62" t="s">
        <v>113</v>
      </c>
      <c r="B64" s="63"/>
      <c r="C64" s="63"/>
      <c r="D64" s="64"/>
      <c r="E64" s="56">
        <v>231730</v>
      </c>
      <c r="F64" s="57">
        <v>1</v>
      </c>
      <c r="G64" s="57">
        <v>1</v>
      </c>
      <c r="H64" s="58" t="s">
        <v>114</v>
      </c>
      <c r="I64" s="65" t="s">
        <v>45</v>
      </c>
      <c r="J64" s="64"/>
      <c r="K64" s="59"/>
      <c r="L64" s="60" t="s">
        <v>54</v>
      </c>
      <c r="M64" s="45"/>
      <c r="N64" s="55"/>
    </row>
    <row r="65" spans="1:14" ht="13.5" customHeight="1" x14ac:dyDescent="0.2">
      <c r="A65" s="62" t="s">
        <v>115</v>
      </c>
      <c r="B65" s="63"/>
      <c r="C65" s="63"/>
      <c r="D65" s="64"/>
      <c r="E65" s="56">
        <v>231731</v>
      </c>
      <c r="F65" s="57">
        <v>1</v>
      </c>
      <c r="G65" s="57">
        <v>1</v>
      </c>
      <c r="H65" s="58" t="s">
        <v>107</v>
      </c>
      <c r="I65" s="65" t="s">
        <v>106</v>
      </c>
      <c r="J65" s="64"/>
      <c r="K65" s="59"/>
      <c r="L65" s="60" t="s">
        <v>54</v>
      </c>
      <c r="M65" s="45"/>
      <c r="N65" s="55"/>
    </row>
    <row r="66" spans="1:14" ht="13.5" customHeight="1" x14ac:dyDescent="0.2">
      <c r="A66" s="62" t="s">
        <v>116</v>
      </c>
      <c r="B66" s="63"/>
      <c r="C66" s="63"/>
      <c r="D66" s="64"/>
      <c r="E66" s="56">
        <v>231732</v>
      </c>
      <c r="F66" s="57">
        <v>1</v>
      </c>
      <c r="G66" s="57">
        <v>1</v>
      </c>
      <c r="H66" s="58" t="s">
        <v>77</v>
      </c>
      <c r="I66" s="65" t="s">
        <v>106</v>
      </c>
      <c r="J66" s="64"/>
      <c r="K66" s="59"/>
      <c r="L66" s="60" t="s">
        <v>54</v>
      </c>
      <c r="M66" s="45"/>
      <c r="N66" s="55"/>
    </row>
    <row r="67" spans="1:14" ht="13.5" customHeight="1" x14ac:dyDescent="0.2">
      <c r="A67" s="62" t="s">
        <v>117</v>
      </c>
      <c r="B67" s="63"/>
      <c r="C67" s="63"/>
      <c r="D67" s="64"/>
      <c r="E67" s="56">
        <v>231733</v>
      </c>
      <c r="F67" s="57">
        <v>1</v>
      </c>
      <c r="G67" s="57">
        <v>1</v>
      </c>
      <c r="H67" s="58" t="s">
        <v>77</v>
      </c>
      <c r="I67" s="65" t="s">
        <v>106</v>
      </c>
      <c r="J67" s="64"/>
      <c r="K67" s="59"/>
      <c r="L67" s="60" t="s">
        <v>54</v>
      </c>
      <c r="M67" s="45"/>
      <c r="N67" s="55"/>
    </row>
    <row r="68" spans="1:14" ht="13.5" customHeight="1" x14ac:dyDescent="0.2">
      <c r="A68" s="62" t="s">
        <v>118</v>
      </c>
      <c r="B68" s="63"/>
      <c r="C68" s="63"/>
      <c r="D68" s="64"/>
      <c r="E68" s="56">
        <v>231734</v>
      </c>
      <c r="F68" s="57">
        <v>1</v>
      </c>
      <c r="G68" s="57">
        <v>1</v>
      </c>
      <c r="H68" s="58" t="s">
        <v>119</v>
      </c>
      <c r="I68" s="65" t="s">
        <v>106</v>
      </c>
      <c r="J68" s="64"/>
      <c r="K68" s="59"/>
      <c r="L68" s="60" t="s">
        <v>54</v>
      </c>
      <c r="M68" s="45"/>
      <c r="N68" s="55"/>
    </row>
    <row r="69" spans="1:14" ht="13.5" customHeight="1" x14ac:dyDescent="0.2">
      <c r="A69" s="62" t="s">
        <v>120</v>
      </c>
      <c r="B69" s="63"/>
      <c r="C69" s="63"/>
      <c r="D69" s="64"/>
      <c r="E69" s="56">
        <v>231735</v>
      </c>
      <c r="F69" s="57">
        <v>1</v>
      </c>
      <c r="G69" s="57">
        <v>1</v>
      </c>
      <c r="H69" s="58" t="s">
        <v>109</v>
      </c>
      <c r="I69" s="65" t="s">
        <v>106</v>
      </c>
      <c r="J69" s="64"/>
      <c r="K69" s="59"/>
      <c r="L69" s="60" t="s">
        <v>54</v>
      </c>
      <c r="M69" s="45"/>
      <c r="N69" s="55"/>
    </row>
    <row r="70" spans="1:14" ht="13.5" customHeight="1" x14ac:dyDescent="0.2">
      <c r="A70" s="62" t="s">
        <v>121</v>
      </c>
      <c r="B70" s="63"/>
      <c r="C70" s="63"/>
      <c r="D70" s="64"/>
      <c r="E70" s="56">
        <v>231736</v>
      </c>
      <c r="F70" s="57">
        <v>1</v>
      </c>
      <c r="G70" s="57">
        <v>1</v>
      </c>
      <c r="H70" s="58" t="s">
        <v>109</v>
      </c>
      <c r="I70" s="65" t="s">
        <v>106</v>
      </c>
      <c r="J70" s="64"/>
      <c r="K70" s="59"/>
      <c r="L70" s="60" t="s">
        <v>54</v>
      </c>
      <c r="M70" s="45"/>
      <c r="N70" s="55"/>
    </row>
    <row r="71" spans="1:14" ht="13.5" customHeight="1" x14ac:dyDescent="0.2">
      <c r="A71" s="62" t="s">
        <v>122</v>
      </c>
      <c r="B71" s="63"/>
      <c r="C71" s="63"/>
      <c r="D71" s="64"/>
      <c r="E71" s="56">
        <v>231737</v>
      </c>
      <c r="F71" s="57">
        <v>1</v>
      </c>
      <c r="G71" s="57">
        <v>1</v>
      </c>
      <c r="H71" s="58" t="s">
        <v>123</v>
      </c>
      <c r="I71" s="65" t="s">
        <v>60</v>
      </c>
      <c r="J71" s="64"/>
      <c r="K71" s="59"/>
      <c r="L71" s="60" t="s">
        <v>54</v>
      </c>
      <c r="M71" s="45"/>
      <c r="N71" s="55"/>
    </row>
    <row r="72" spans="1:14" ht="13.5" customHeight="1" x14ac:dyDescent="0.2">
      <c r="A72" s="66" t="s">
        <v>8</v>
      </c>
      <c r="B72" s="66"/>
      <c r="C72" s="66"/>
      <c r="D72" s="66"/>
      <c r="I72" s="67"/>
      <c r="J72" s="67"/>
    </row>
    <row r="73" spans="1:14" ht="13.5" customHeight="1" x14ac:dyDescent="0.2">
      <c r="A73" s="41" t="s">
        <v>127</v>
      </c>
      <c r="B73" s="41"/>
      <c r="C73" s="41"/>
      <c r="D73" s="41"/>
      <c r="E73" s="42">
        <v>231589</v>
      </c>
      <c r="F73" s="43">
        <v>1</v>
      </c>
      <c r="G73" s="43">
        <v>1</v>
      </c>
      <c r="H73" s="44" t="s">
        <v>128</v>
      </c>
      <c r="I73" s="41" t="s">
        <v>126</v>
      </c>
      <c r="J73" s="41"/>
      <c r="M73" s="45"/>
    </row>
    <row r="74" spans="1:14" ht="13.5" customHeight="1" x14ac:dyDescent="0.2">
      <c r="A74" s="41" t="s">
        <v>127</v>
      </c>
      <c r="B74" s="41"/>
      <c r="C74" s="41"/>
      <c r="D74" s="41"/>
      <c r="E74" s="42">
        <v>231589</v>
      </c>
      <c r="F74" s="43">
        <v>2</v>
      </c>
      <c r="G74" s="43">
        <v>1</v>
      </c>
      <c r="H74" s="44" t="s">
        <v>129</v>
      </c>
      <c r="I74" s="41" t="s">
        <v>126</v>
      </c>
      <c r="J74" s="41"/>
      <c r="M74" s="45"/>
    </row>
    <row r="75" spans="1:14" ht="13.5" customHeight="1" x14ac:dyDescent="0.2">
      <c r="A75" s="41" t="s">
        <v>127</v>
      </c>
      <c r="B75" s="41"/>
      <c r="C75" s="41"/>
      <c r="D75" s="41"/>
      <c r="E75" s="42">
        <v>231589</v>
      </c>
      <c r="F75" s="43">
        <v>3</v>
      </c>
      <c r="G75" s="43">
        <v>1</v>
      </c>
      <c r="H75" s="44" t="s">
        <v>130</v>
      </c>
      <c r="I75" s="41" t="s">
        <v>126</v>
      </c>
      <c r="J75" s="41"/>
      <c r="M75" s="45"/>
    </row>
    <row r="76" spans="1:14" ht="13.5" customHeight="1" x14ac:dyDescent="0.2">
      <c r="A76" s="41" t="s">
        <v>131</v>
      </c>
      <c r="B76" s="41"/>
      <c r="C76" s="41"/>
      <c r="D76" s="41"/>
      <c r="E76" s="42">
        <v>231590</v>
      </c>
      <c r="F76" s="43">
        <v>1</v>
      </c>
      <c r="G76" s="43">
        <v>1</v>
      </c>
      <c r="H76" s="44" t="s">
        <v>132</v>
      </c>
      <c r="I76" s="41" t="s">
        <v>133</v>
      </c>
      <c r="J76" s="41"/>
      <c r="M76" s="45"/>
    </row>
    <row r="77" spans="1:14" ht="13.5" customHeight="1" x14ac:dyDescent="0.2">
      <c r="A77" s="41" t="s">
        <v>131</v>
      </c>
      <c r="B77" s="41"/>
      <c r="C77" s="41"/>
      <c r="D77" s="41"/>
      <c r="E77" s="42">
        <v>231590</v>
      </c>
      <c r="F77" s="43">
        <v>2</v>
      </c>
      <c r="G77" s="43">
        <v>1</v>
      </c>
      <c r="H77" s="44" t="s">
        <v>134</v>
      </c>
      <c r="I77" s="41" t="s">
        <v>133</v>
      </c>
      <c r="J77" s="41"/>
      <c r="M77" s="45"/>
    </row>
    <row r="78" spans="1:14" ht="13.5" customHeight="1" x14ac:dyDescent="0.2">
      <c r="A78" s="41" t="s">
        <v>135</v>
      </c>
      <c r="B78" s="41"/>
      <c r="C78" s="41"/>
      <c r="D78" s="41"/>
      <c r="E78" s="42">
        <v>231591</v>
      </c>
      <c r="F78" s="43">
        <v>1</v>
      </c>
      <c r="G78" s="43">
        <v>1</v>
      </c>
      <c r="H78" s="44" t="s">
        <v>136</v>
      </c>
      <c r="I78" s="41" t="s">
        <v>133</v>
      </c>
      <c r="J78" s="41"/>
      <c r="M78" s="45"/>
    </row>
    <row r="79" spans="1:14" ht="13.5" customHeight="1" x14ac:dyDescent="0.2">
      <c r="A79" s="41" t="s">
        <v>135</v>
      </c>
      <c r="B79" s="41"/>
      <c r="C79" s="41"/>
      <c r="D79" s="41"/>
      <c r="E79" s="42">
        <v>231591</v>
      </c>
      <c r="F79" s="43">
        <v>2</v>
      </c>
      <c r="G79" s="43">
        <v>1</v>
      </c>
      <c r="H79" s="44" t="s">
        <v>137</v>
      </c>
      <c r="I79" s="41" t="s">
        <v>133</v>
      </c>
      <c r="J79" s="41"/>
      <c r="M79" s="45"/>
    </row>
    <row r="80" spans="1:14" ht="13.5" customHeight="1" x14ac:dyDescent="0.2">
      <c r="A80" s="41" t="s">
        <v>138</v>
      </c>
      <c r="B80" s="41"/>
      <c r="C80" s="41"/>
      <c r="D80" s="41"/>
      <c r="E80" s="42">
        <v>231592</v>
      </c>
      <c r="F80" s="43">
        <v>1</v>
      </c>
      <c r="G80" s="43">
        <v>1</v>
      </c>
      <c r="H80" s="44" t="s">
        <v>139</v>
      </c>
      <c r="I80" s="41" t="s">
        <v>140</v>
      </c>
      <c r="J80" s="41"/>
      <c r="M80" s="45"/>
    </row>
    <row r="81" spans="1:13" ht="13.5" customHeight="1" x14ac:dyDescent="0.2">
      <c r="A81" s="41" t="s">
        <v>138</v>
      </c>
      <c r="B81" s="41"/>
      <c r="C81" s="41"/>
      <c r="D81" s="41"/>
      <c r="E81" s="42">
        <v>231592</v>
      </c>
      <c r="F81" s="43">
        <v>2</v>
      </c>
      <c r="G81" s="43">
        <v>1</v>
      </c>
      <c r="H81" s="44" t="s">
        <v>141</v>
      </c>
      <c r="I81" s="41" t="s">
        <v>140</v>
      </c>
      <c r="J81" s="41"/>
      <c r="M81" s="45"/>
    </row>
    <row r="82" spans="1:13" ht="13.5" customHeight="1" x14ac:dyDescent="0.2">
      <c r="A82" s="41" t="s">
        <v>138</v>
      </c>
      <c r="B82" s="41"/>
      <c r="C82" s="41"/>
      <c r="D82" s="41"/>
      <c r="E82" s="42">
        <v>231592</v>
      </c>
      <c r="F82" s="43">
        <v>3</v>
      </c>
      <c r="G82" s="43">
        <v>1</v>
      </c>
      <c r="H82" s="44" t="s">
        <v>142</v>
      </c>
      <c r="I82" s="41" t="s">
        <v>140</v>
      </c>
      <c r="J82" s="41"/>
      <c r="M82" s="45"/>
    </row>
    <row r="83" spans="1:13" ht="13.5" customHeight="1" x14ac:dyDescent="0.2">
      <c r="A83" s="41" t="s">
        <v>143</v>
      </c>
      <c r="B83" s="41"/>
      <c r="C83" s="41"/>
      <c r="D83" s="41"/>
      <c r="E83" s="42">
        <v>231593</v>
      </c>
      <c r="F83" s="43">
        <v>1</v>
      </c>
      <c r="G83" s="43">
        <v>1</v>
      </c>
      <c r="H83" s="44" t="s">
        <v>144</v>
      </c>
      <c r="I83" s="41" t="s">
        <v>140</v>
      </c>
      <c r="J83" s="41"/>
      <c r="M83" s="45"/>
    </row>
    <row r="84" spans="1:13" ht="13.5" customHeight="1" x14ac:dyDescent="0.2">
      <c r="A84" s="41" t="s">
        <v>143</v>
      </c>
      <c r="B84" s="41"/>
      <c r="C84" s="41"/>
      <c r="D84" s="41"/>
      <c r="E84" s="42">
        <v>231593</v>
      </c>
      <c r="F84" s="43">
        <v>2</v>
      </c>
      <c r="G84" s="43">
        <v>1</v>
      </c>
      <c r="H84" s="44" t="s">
        <v>46</v>
      </c>
      <c r="I84" s="41" t="s">
        <v>140</v>
      </c>
      <c r="J84" s="41"/>
      <c r="M84" s="45"/>
    </row>
    <row r="85" spans="1:13" ht="13.5" customHeight="1" x14ac:dyDescent="0.2">
      <c r="A85" s="41" t="s">
        <v>145</v>
      </c>
      <c r="B85" s="41"/>
      <c r="C85" s="41"/>
      <c r="D85" s="41"/>
      <c r="E85" s="42">
        <v>231594</v>
      </c>
      <c r="F85" s="43">
        <v>1</v>
      </c>
      <c r="G85" s="43">
        <v>1</v>
      </c>
      <c r="H85" s="44" t="s">
        <v>146</v>
      </c>
      <c r="I85" s="41" t="s">
        <v>147</v>
      </c>
      <c r="J85" s="41"/>
      <c r="M85" s="45"/>
    </row>
    <row r="86" spans="1:13" ht="13.5" customHeight="1" x14ac:dyDescent="0.2">
      <c r="A86" s="41" t="s">
        <v>145</v>
      </c>
      <c r="B86" s="41"/>
      <c r="C86" s="41"/>
      <c r="D86" s="41"/>
      <c r="E86" s="42">
        <v>231594</v>
      </c>
      <c r="F86" s="43">
        <v>2</v>
      </c>
      <c r="G86" s="43">
        <v>1</v>
      </c>
      <c r="H86" s="44" t="s">
        <v>148</v>
      </c>
      <c r="I86" s="41" t="s">
        <v>147</v>
      </c>
      <c r="J86" s="41"/>
      <c r="M86" s="45"/>
    </row>
    <row r="87" spans="1:13" ht="13.5" customHeight="1" x14ac:dyDescent="0.2">
      <c r="A87" s="41" t="s">
        <v>149</v>
      </c>
      <c r="B87" s="41"/>
      <c r="C87" s="41"/>
      <c r="D87" s="41"/>
      <c r="E87" s="42">
        <v>231595</v>
      </c>
      <c r="F87" s="43">
        <v>1</v>
      </c>
      <c r="G87" s="43">
        <v>1</v>
      </c>
      <c r="H87" s="44" t="s">
        <v>150</v>
      </c>
      <c r="I87" s="41" t="s">
        <v>147</v>
      </c>
      <c r="J87" s="41"/>
      <c r="M87" s="45"/>
    </row>
    <row r="88" spans="1:13" ht="13.5" customHeight="1" x14ac:dyDescent="0.2">
      <c r="A88" s="41" t="s">
        <v>149</v>
      </c>
      <c r="B88" s="41"/>
      <c r="C88" s="41"/>
      <c r="D88" s="41"/>
      <c r="E88" s="42">
        <v>231595</v>
      </c>
      <c r="F88" s="43">
        <v>2</v>
      </c>
      <c r="G88" s="43">
        <v>1</v>
      </c>
      <c r="H88" s="44" t="s">
        <v>128</v>
      </c>
      <c r="I88" s="41" t="s">
        <v>147</v>
      </c>
      <c r="J88" s="41"/>
      <c r="M88" s="45"/>
    </row>
    <row r="89" spans="1:13" ht="13.5" customHeight="1" x14ac:dyDescent="0.2">
      <c r="A89" s="41" t="s">
        <v>151</v>
      </c>
      <c r="B89" s="41"/>
      <c r="C89" s="41"/>
      <c r="D89" s="41"/>
      <c r="E89" s="42">
        <v>231596</v>
      </c>
      <c r="F89" s="43">
        <v>1</v>
      </c>
      <c r="G89" s="43">
        <v>1</v>
      </c>
      <c r="H89" s="44" t="s">
        <v>46</v>
      </c>
      <c r="I89" s="41" t="s">
        <v>68</v>
      </c>
      <c r="J89" s="41"/>
      <c r="M89" s="45"/>
    </row>
    <row r="90" spans="1:13" ht="13.5" customHeight="1" x14ac:dyDescent="0.2">
      <c r="A90" s="41" t="s">
        <v>151</v>
      </c>
      <c r="B90" s="41"/>
      <c r="C90" s="41"/>
      <c r="D90" s="41"/>
      <c r="E90" s="42">
        <v>231596</v>
      </c>
      <c r="F90" s="43">
        <v>2</v>
      </c>
      <c r="G90" s="43">
        <v>1</v>
      </c>
      <c r="H90" s="44" t="s">
        <v>152</v>
      </c>
      <c r="I90" s="41" t="s">
        <v>68</v>
      </c>
      <c r="J90" s="41"/>
      <c r="M90" s="45"/>
    </row>
    <row r="91" spans="1:13" ht="13.5" customHeight="1" x14ac:dyDescent="0.2">
      <c r="A91" s="41" t="s">
        <v>151</v>
      </c>
      <c r="B91" s="41"/>
      <c r="C91" s="41"/>
      <c r="D91" s="41"/>
      <c r="E91" s="42">
        <v>231596</v>
      </c>
      <c r="F91" s="43">
        <v>3</v>
      </c>
      <c r="G91" s="43">
        <v>1</v>
      </c>
      <c r="H91" s="44" t="s">
        <v>153</v>
      </c>
      <c r="I91" s="41" t="s">
        <v>68</v>
      </c>
      <c r="J91" s="41"/>
      <c r="M91" s="45"/>
    </row>
    <row r="92" spans="1:13" ht="13.5" customHeight="1" x14ac:dyDescent="0.2">
      <c r="A92" s="41" t="s">
        <v>66</v>
      </c>
      <c r="B92" s="41"/>
      <c r="C92" s="41"/>
      <c r="D92" s="41"/>
      <c r="E92" s="42">
        <v>231597</v>
      </c>
      <c r="F92" s="43">
        <v>1</v>
      </c>
      <c r="G92" s="43">
        <v>1</v>
      </c>
      <c r="H92" s="44" t="s">
        <v>154</v>
      </c>
      <c r="I92" s="41" t="s">
        <v>68</v>
      </c>
      <c r="J92" s="41"/>
      <c r="M92" s="45"/>
    </row>
    <row r="93" spans="1:13" ht="13.5" customHeight="1" x14ac:dyDescent="0.2">
      <c r="A93" s="41" t="s">
        <v>66</v>
      </c>
      <c r="B93" s="41"/>
      <c r="C93" s="41"/>
      <c r="D93" s="41"/>
      <c r="E93" s="42">
        <v>231597</v>
      </c>
      <c r="F93" s="43">
        <v>2</v>
      </c>
      <c r="G93" s="43">
        <v>1</v>
      </c>
      <c r="H93" s="44" t="s">
        <v>128</v>
      </c>
      <c r="I93" s="41" t="s">
        <v>68</v>
      </c>
      <c r="J93" s="41"/>
      <c r="M93" s="45"/>
    </row>
    <row r="94" spans="1:13" ht="13.5" customHeight="1" x14ac:dyDescent="0.2">
      <c r="A94" s="41" t="s">
        <v>155</v>
      </c>
      <c r="B94" s="41"/>
      <c r="C94" s="41"/>
      <c r="D94" s="41"/>
      <c r="E94" s="42">
        <v>231742</v>
      </c>
      <c r="F94" s="43">
        <v>2</v>
      </c>
      <c r="G94" s="43">
        <v>1</v>
      </c>
      <c r="H94" s="44" t="s">
        <v>156</v>
      </c>
      <c r="I94" s="41" t="s">
        <v>157</v>
      </c>
      <c r="J94" s="41"/>
      <c r="M94" s="45"/>
    </row>
    <row r="95" spans="1:13" ht="13.5" customHeight="1" x14ac:dyDescent="0.2">
      <c r="A95" s="41" t="s">
        <v>158</v>
      </c>
      <c r="B95" s="41"/>
      <c r="C95" s="41"/>
      <c r="D95" s="41"/>
      <c r="E95" s="42">
        <v>231743</v>
      </c>
      <c r="F95" s="43">
        <v>2</v>
      </c>
      <c r="G95" s="43">
        <v>1</v>
      </c>
      <c r="H95" s="44" t="s">
        <v>159</v>
      </c>
      <c r="I95" s="41" t="s">
        <v>160</v>
      </c>
      <c r="J95" s="41"/>
      <c r="M95" s="45"/>
    </row>
    <row r="96" spans="1:13" ht="13.5" customHeight="1" x14ac:dyDescent="0.2">
      <c r="A96" s="61" t="s">
        <v>158</v>
      </c>
      <c r="B96" s="61"/>
      <c r="C96" s="61"/>
      <c r="D96" s="61"/>
      <c r="E96" s="42">
        <v>231743</v>
      </c>
      <c r="F96" s="43">
        <v>3</v>
      </c>
      <c r="G96" s="43">
        <v>1</v>
      </c>
      <c r="H96" s="44" t="s">
        <v>161</v>
      </c>
      <c r="I96" s="61" t="s">
        <v>160</v>
      </c>
      <c r="J96" s="61"/>
      <c r="M96" s="45"/>
    </row>
    <row r="97" spans="1:14" ht="13.5" customHeight="1" x14ac:dyDescent="0.2">
      <c r="A97" s="62" t="s">
        <v>155</v>
      </c>
      <c r="B97" s="63"/>
      <c r="C97" s="63"/>
      <c r="D97" s="64"/>
      <c r="E97" s="56">
        <v>231742</v>
      </c>
      <c r="F97" s="57">
        <v>2</v>
      </c>
      <c r="G97" s="57">
        <v>1</v>
      </c>
      <c r="H97" s="58" t="s">
        <v>156</v>
      </c>
      <c r="I97" s="65" t="s">
        <v>157</v>
      </c>
      <c r="J97" s="64"/>
      <c r="K97" s="59"/>
      <c r="L97" s="60" t="s">
        <v>54</v>
      </c>
      <c r="M97" s="45"/>
      <c r="N97" s="55"/>
    </row>
    <row r="98" spans="1:14" ht="12" customHeight="1" x14ac:dyDescent="0.2"/>
    <row r="99" spans="1:14" ht="12.95" customHeight="1" x14ac:dyDescent="0.2"/>
    <row r="100" spans="1:14" ht="15" customHeight="1" x14ac:dyDescent="0.2">
      <c r="J100" s="46"/>
      <c r="K100" s="47"/>
      <c r="L100" s="47"/>
      <c r="M100" s="47"/>
      <c r="N100" s="47"/>
    </row>
  </sheetData>
  <sheetProtection sheet="1" objects="1" scenarios="1" selectLockedCells="1" selectUnlockedCells="1"/>
  <mergeCells count="192">
    <mergeCell ref="O2:W2"/>
    <mergeCell ref="X2:AG2"/>
    <mergeCell ref="AO2:AV2"/>
    <mergeCell ref="A70:D70"/>
    <mergeCell ref="I70:J70"/>
    <mergeCell ref="A71:D71"/>
    <mergeCell ref="I71:J71"/>
    <mergeCell ref="A97:D97"/>
    <mergeCell ref="I97:J97"/>
    <mergeCell ref="A67:D67"/>
    <mergeCell ref="I67:J67"/>
    <mergeCell ref="A68:D68"/>
    <mergeCell ref="I68:J68"/>
    <mergeCell ref="A69:D69"/>
    <mergeCell ref="I69:J69"/>
    <mergeCell ref="I63:J63"/>
    <mergeCell ref="A64:D64"/>
    <mergeCell ref="I64:J64"/>
    <mergeCell ref="A65:D65"/>
    <mergeCell ref="I65:J65"/>
    <mergeCell ref="A66:D66"/>
    <mergeCell ref="I66:J66"/>
    <mergeCell ref="O3:W3"/>
    <mergeCell ref="X3:AG3"/>
    <mergeCell ref="AO3:AV3"/>
    <mergeCell ref="A10:D10"/>
    <mergeCell ref="I10:J10"/>
    <mergeCell ref="A60:D60"/>
    <mergeCell ref="I60:J60"/>
    <mergeCell ref="A96:D96"/>
    <mergeCell ref="I96:J96"/>
    <mergeCell ref="A7:D7"/>
    <mergeCell ref="I7:J7"/>
    <mergeCell ref="A11:D11"/>
    <mergeCell ref="I11:J11"/>
    <mergeCell ref="A72:D72"/>
    <mergeCell ref="I72:J72"/>
    <mergeCell ref="A61:D61"/>
    <mergeCell ref="A93:D93"/>
    <mergeCell ref="I93:J93"/>
    <mergeCell ref="A94:D94"/>
    <mergeCell ref="I94:J94"/>
    <mergeCell ref="A95:D95"/>
    <mergeCell ref="I95:J95"/>
    <mergeCell ref="A90:D90"/>
    <mergeCell ref="I90:J90"/>
    <mergeCell ref="A91:D91"/>
    <mergeCell ref="I91:J91"/>
    <mergeCell ref="A92:D92"/>
    <mergeCell ref="I92:J92"/>
    <mergeCell ref="A87:D87"/>
    <mergeCell ref="I87:J87"/>
    <mergeCell ref="A88:D88"/>
    <mergeCell ref="I88:J88"/>
    <mergeCell ref="A89:D89"/>
    <mergeCell ref="I89:J89"/>
    <mergeCell ref="A84:D84"/>
    <mergeCell ref="I84:J84"/>
    <mergeCell ref="A85:D85"/>
    <mergeCell ref="I85:J85"/>
    <mergeCell ref="A86:D86"/>
    <mergeCell ref="I86:J86"/>
    <mergeCell ref="A81:D81"/>
    <mergeCell ref="I81:J81"/>
    <mergeCell ref="A82:D82"/>
    <mergeCell ref="I82:J82"/>
    <mergeCell ref="A83:D83"/>
    <mergeCell ref="I83:J83"/>
    <mergeCell ref="A78:D78"/>
    <mergeCell ref="I78:J78"/>
    <mergeCell ref="A79:D79"/>
    <mergeCell ref="I79:J79"/>
    <mergeCell ref="A80:D80"/>
    <mergeCell ref="I80:J80"/>
    <mergeCell ref="A75:D75"/>
    <mergeCell ref="I75:J75"/>
    <mergeCell ref="A76:D76"/>
    <mergeCell ref="I76:J76"/>
    <mergeCell ref="A77:D77"/>
    <mergeCell ref="I77:J77"/>
    <mergeCell ref="A59:D59"/>
    <mergeCell ref="I59:J59"/>
    <mergeCell ref="A73:D73"/>
    <mergeCell ref="I73:J73"/>
    <mergeCell ref="A74:D74"/>
    <mergeCell ref="I74:J74"/>
    <mergeCell ref="I61:J61"/>
    <mergeCell ref="A62:D62"/>
    <mergeCell ref="I62:J62"/>
    <mergeCell ref="A63:D63"/>
    <mergeCell ref="A56:D56"/>
    <mergeCell ref="I56:J56"/>
    <mergeCell ref="A57:D57"/>
    <mergeCell ref="I57:J57"/>
    <mergeCell ref="A58:D58"/>
    <mergeCell ref="I58:J58"/>
    <mergeCell ref="A53:D53"/>
    <mergeCell ref="I53:J53"/>
    <mergeCell ref="A54:D54"/>
    <mergeCell ref="I54:J54"/>
    <mergeCell ref="A55:D55"/>
    <mergeCell ref="I55:J55"/>
    <mergeCell ref="A50:D50"/>
    <mergeCell ref="I50:J50"/>
    <mergeCell ref="A51:D51"/>
    <mergeCell ref="I51:J51"/>
    <mergeCell ref="A52:D52"/>
    <mergeCell ref="I52:J52"/>
    <mergeCell ref="A47:D47"/>
    <mergeCell ref="I47:J47"/>
    <mergeCell ref="A48:D48"/>
    <mergeCell ref="I48:J48"/>
    <mergeCell ref="A49:D49"/>
    <mergeCell ref="I49:J49"/>
    <mergeCell ref="A44:D44"/>
    <mergeCell ref="I44:J44"/>
    <mergeCell ref="A45:D45"/>
    <mergeCell ref="I45:J45"/>
    <mergeCell ref="A46:D46"/>
    <mergeCell ref="I46:J46"/>
    <mergeCell ref="A41:D41"/>
    <mergeCell ref="I41:J41"/>
    <mergeCell ref="A42:D42"/>
    <mergeCell ref="I42:J42"/>
    <mergeCell ref="A43:D43"/>
    <mergeCell ref="I43:J43"/>
    <mergeCell ref="A38:D38"/>
    <mergeCell ref="I38:J38"/>
    <mergeCell ref="A39:D39"/>
    <mergeCell ref="I39:J39"/>
    <mergeCell ref="A40:D40"/>
    <mergeCell ref="I40:J40"/>
    <mergeCell ref="A35:D35"/>
    <mergeCell ref="I35:J35"/>
    <mergeCell ref="A36:D36"/>
    <mergeCell ref="I36:J36"/>
    <mergeCell ref="A37:D37"/>
    <mergeCell ref="I37:J37"/>
    <mergeCell ref="A32:D32"/>
    <mergeCell ref="I32:J32"/>
    <mergeCell ref="A33:D33"/>
    <mergeCell ref="I33:J33"/>
    <mergeCell ref="A34:D34"/>
    <mergeCell ref="I34:J34"/>
    <mergeCell ref="A29:D29"/>
    <mergeCell ref="I29:J29"/>
    <mergeCell ref="A30:D30"/>
    <mergeCell ref="I30:J30"/>
    <mergeCell ref="A31:D31"/>
    <mergeCell ref="I31:J31"/>
    <mergeCell ref="A26:D26"/>
    <mergeCell ref="I26:J26"/>
    <mergeCell ref="A27:D27"/>
    <mergeCell ref="I27:J27"/>
    <mergeCell ref="A28:D28"/>
    <mergeCell ref="I28:J28"/>
    <mergeCell ref="A23:D23"/>
    <mergeCell ref="I23:J23"/>
    <mergeCell ref="A24:D24"/>
    <mergeCell ref="I24:J24"/>
    <mergeCell ref="A25:D25"/>
    <mergeCell ref="I25:J25"/>
    <mergeCell ref="A20:D20"/>
    <mergeCell ref="I20:J20"/>
    <mergeCell ref="A21:D21"/>
    <mergeCell ref="I21:J21"/>
    <mergeCell ref="A22:D22"/>
    <mergeCell ref="I22:J22"/>
    <mergeCell ref="A17:D17"/>
    <mergeCell ref="I17:J17"/>
    <mergeCell ref="A18:D18"/>
    <mergeCell ref="I18:J18"/>
    <mergeCell ref="A19:D19"/>
    <mergeCell ref="I19:J19"/>
    <mergeCell ref="A14:D14"/>
    <mergeCell ref="I14:J14"/>
    <mergeCell ref="A15:D15"/>
    <mergeCell ref="I15:J15"/>
    <mergeCell ref="A16:D16"/>
    <mergeCell ref="I16:J16"/>
    <mergeCell ref="A9:D9"/>
    <mergeCell ref="I9:J9"/>
    <mergeCell ref="A12:D12"/>
    <mergeCell ref="I12:J12"/>
    <mergeCell ref="A13:D13"/>
    <mergeCell ref="I13:J13"/>
    <mergeCell ref="D2:H2"/>
    <mergeCell ref="I2:L2"/>
    <mergeCell ref="A5:D5"/>
    <mergeCell ref="I5:J5"/>
    <mergeCell ref="A8:D8"/>
    <mergeCell ref="I8:J8"/>
  </mergeCells>
  <pageMargins left="0.195833333333333" right="0.195833333333333" top="0.195833333333333" bottom="0.195833333333333" header="0" footer="0"/>
  <pageSetup paperSize="0" scale="0" fitToWidth="0" fitToHeight="0" orientation="portrait" horizontalDpi="0" verticalDpi="0" copies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1B8AC1-A63B-4AA4-9917-885FA886C131}">
  <sheetPr codeName="Sheet3">
    <outlinePr summaryBelow="0" summaryRight="0"/>
    <pageSetUpPr autoPageBreaks="0"/>
  </sheetPr>
  <dimension ref="A1:AV100"/>
  <sheetViews>
    <sheetView workbookViewId="0">
      <pane ySplit="5" topLeftCell="A6" activePane="bottomLeft" state="frozenSplit"/>
      <selection pane="bottomLeft" activeCell="AO6" sqref="AO6"/>
    </sheetView>
  </sheetViews>
  <sheetFormatPr defaultColWidth="6.85546875" defaultRowHeight="12.75" customHeight="1" x14ac:dyDescent="0.2"/>
  <cols>
    <col min="1" max="1" width="19" style="21" customWidth="1"/>
    <col min="2" max="2" width="1.5703125" style="21" customWidth="1"/>
    <col min="3" max="3" width="4.5703125" style="21" customWidth="1"/>
    <col min="4" max="4" width="3.42578125" style="21" customWidth="1"/>
    <col min="5" max="5" width="10.7109375" style="21" customWidth="1"/>
    <col min="6" max="6" width="8.140625" style="21" bestFit="1" customWidth="1"/>
    <col min="7" max="7" width="6.7109375" style="21" customWidth="1"/>
    <col min="8" max="8" width="14.7109375" style="21" customWidth="1"/>
    <col min="9" max="9" width="16.7109375" style="21" customWidth="1"/>
    <col min="10" max="10" width="18.28515625" style="21" customWidth="1"/>
    <col min="11" max="11" width="6.7109375" style="21" customWidth="1"/>
    <col min="12" max="12" width="3.7109375" style="21" customWidth="1"/>
    <col min="13" max="13" width="13.7109375" style="21" customWidth="1"/>
    <col min="14" max="14" width="1.7109375" style="21" customWidth="1"/>
    <col min="15" max="15" width="18.7109375" style="25" hidden="1" customWidth="1"/>
    <col min="16" max="16" width="20.7109375" style="26" hidden="1" customWidth="1"/>
    <col min="17" max="17" width="12.7109375" style="26" hidden="1" customWidth="1"/>
    <col min="18" max="18" width="10.7109375" style="26" hidden="1" customWidth="1"/>
    <col min="19" max="19" width="16.7109375" style="26" hidden="1" customWidth="1"/>
    <col min="20" max="20" width="25.7109375" style="27" hidden="1" customWidth="1"/>
    <col min="21" max="22" width="15.7109375" style="26" hidden="1" customWidth="1"/>
    <col min="23" max="23" width="20.7109375" style="26" hidden="1" customWidth="1"/>
    <col min="24" max="24" width="18.7109375" style="25" hidden="1" customWidth="1"/>
    <col min="25" max="25" width="20.7109375" style="26" hidden="1" customWidth="1"/>
    <col min="26" max="26" width="12.7109375" style="26" hidden="1" customWidth="1"/>
    <col min="27" max="27" width="10.7109375" style="26" hidden="1" customWidth="1"/>
    <col min="28" max="28" width="16.7109375" style="26" hidden="1" customWidth="1"/>
    <col min="29" max="29" width="25.7109375" style="27" hidden="1" customWidth="1"/>
    <col min="30" max="30" width="15.7109375" style="26" hidden="1" customWidth="1"/>
    <col min="31" max="31" width="0.140625" style="26" hidden="1" customWidth="1"/>
    <col min="32" max="32" width="20.7109375" style="26" hidden="1" customWidth="1"/>
    <col min="33" max="33" width="15.7109375" style="26" hidden="1" customWidth="1"/>
    <col min="34" max="40" width="6.85546875" style="20" hidden="1" customWidth="1"/>
    <col min="41" max="41" width="18.7109375" style="25" customWidth="1"/>
    <col min="42" max="42" width="20.7109375" style="26" customWidth="1"/>
    <col min="43" max="43" width="12.7109375" style="26" customWidth="1"/>
    <col min="44" max="44" width="10.7109375" style="26" customWidth="1"/>
    <col min="45" max="45" width="16.7109375" style="26" customWidth="1"/>
    <col min="46" max="46" width="25.7109375" style="26" customWidth="1"/>
    <col min="47" max="47" width="15.7109375" style="26" customWidth="1"/>
    <col min="48" max="48" width="20.7109375" style="26" customWidth="1"/>
    <col min="49" max="16384" width="6.85546875" style="20" customWidth="1"/>
  </cols>
  <sheetData>
    <row r="1" spans="1:48" s="21" customFormat="1" ht="6.75" customHeight="1" x14ac:dyDescent="0.2">
      <c r="O1" s="48"/>
      <c r="P1" s="49"/>
      <c r="Q1" s="49"/>
      <c r="R1" s="49"/>
      <c r="S1" s="49"/>
      <c r="T1" s="50"/>
      <c r="U1" s="49"/>
      <c r="V1" s="49"/>
      <c r="W1" s="49"/>
      <c r="X1" s="48"/>
      <c r="Y1" s="49"/>
      <c r="Z1" s="49"/>
      <c r="AA1" s="49"/>
      <c r="AB1" s="49"/>
      <c r="AC1" s="50"/>
      <c r="AD1" s="49"/>
      <c r="AE1" s="49"/>
      <c r="AF1" s="49"/>
      <c r="AG1" s="49"/>
      <c r="AO1" s="48"/>
      <c r="AP1" s="49"/>
      <c r="AQ1" s="49"/>
      <c r="AR1" s="49"/>
      <c r="AS1" s="49"/>
      <c r="AT1" s="49"/>
      <c r="AU1" s="49"/>
      <c r="AV1" s="49"/>
    </row>
    <row r="2" spans="1:48" s="21" customFormat="1" ht="24" customHeight="1" x14ac:dyDescent="0.2">
      <c r="D2" s="32" t="s">
        <v>0</v>
      </c>
      <c r="E2" s="32"/>
      <c r="F2" s="32"/>
      <c r="G2" s="32"/>
      <c r="H2" s="32"/>
      <c r="I2" s="33" t="s">
        <v>65</v>
      </c>
      <c r="J2" s="33"/>
      <c r="K2" s="33"/>
      <c r="L2" s="33"/>
      <c r="O2" s="70" t="str">
        <f ca="1">"Outbound: "&amp;SUMPRODUCT(SUBTOTAL(103,OFFSET($E$6,ROW($E$6:$E$97)-ROW($E$6),0,1)),--($U$6:$U$97="OK"),--($E$6:$E$97&lt;&gt;""))&amp;"/"&amp;SUMPRODUCT(SUBTOTAL(103,OFFSET($E$6,ROW($E$6:$E$97)-ROW($E$6),0,1)),--($E$6:$E$97&lt;&gt;""))&amp;" • "&amp;TEXT(IFERROR(SUMPRODUCT(SUBTOTAL(103,OFFSET($E$6,ROW($E$6:$E$97)-ROW($E$6),0,1)),--((($V$6:$V$97="On-Time")+($V$6:$V$97="Early"))&gt;0),--($E$6:$E$97&lt;&gt;""))/SUMPRODUCT(SUBTOTAL(103,OFFSET($E$6,ROW($E$6:$E$97)-ROW($E$6),0,1)),--($E$6:$E$97&lt;&gt;"")),0),"0.0%")&amp;" On Time"</f>
        <v>Outbound: 0/88 • 0.0% On Time</v>
      </c>
      <c r="P2" s="70"/>
      <c r="Q2" s="70"/>
      <c r="R2" s="70"/>
      <c r="S2" s="70"/>
      <c r="T2" s="70"/>
      <c r="U2" s="70"/>
      <c r="V2" s="70"/>
      <c r="W2" s="70"/>
      <c r="X2" s="71" t="str">
        <f ca="1">"Inbound: "&amp;SUMPRODUCT(SUBTOTAL(103,OFFSET($E$6,ROW($E$6:$E$97)-ROW($E$6),0,1)),--($AD$6:$AD$97="Received"),--($E$6:$E$97&lt;&gt;""))&amp;"/"&amp;SUMPRODUCT(SUBTOTAL(103,OFFSET($E$6,ROW($E$6:$E$97)-ROW($E$6),0,1)),--($E$6:$E$97&lt;&gt;""))&amp;" • "&amp;TEXT(IFERROR(SUMPRODUCT(SUBTOTAL(103,OFFSET($E$6,ROW($E$6:$E$97)-ROW($E$6),0,1)),--($AD$6:$AD$97="Received"),--($E$6:$E$97&lt;&gt;""))/SUMPRODUCT(SUBTOTAL(103,OFFSET($E$6,ROW($E$6:$E$97)-ROW($E$6),0,1)),--($E$6:$E$97&lt;&gt;"")),0),"0.0%")&amp;" Complete"</f>
        <v>Inbound: 0/88 • 0.0% Complete</v>
      </c>
      <c r="Y2" s="71"/>
      <c r="Z2" s="71"/>
      <c r="AA2" s="71"/>
      <c r="AB2" s="71"/>
      <c r="AC2" s="71"/>
      <c r="AD2" s="71"/>
      <c r="AE2" s="71"/>
      <c r="AF2" s="71"/>
      <c r="AG2" s="71"/>
      <c r="AO2" s="72" t="str">
        <f ca="1">"Staged: "&amp;SUMPRODUCT(SUBTOTAL(103,OFFSET($E$6,ROW($E$6:$E$97)-ROW($E$6),0,1)),--($AU$6:$AU$97="OK"),--($E$6:$E$97&lt;&gt;""))&amp;"/"&amp;SUMPRODUCT(SUBTOTAL(103,OFFSET($E$6,ROW($E$6:$E$97)-ROW($E$6),0,1)),--($E$6:$E$97&lt;&gt;""))&amp;" • "&amp;TEXT(IFERROR(SUMPRODUCT(SUBTOTAL(103,OFFSET($E$6,ROW($E$6:$E$97)-ROW($E$6),0,1)),--($AU$6:$AU$97="OK"),--($E$6:$E$97&lt;&gt;""))/SUMPRODUCT(SUBTOTAL(103,OFFSET($E$6,ROW($E$6:$E$97)-ROW($E$6),0,1)),--($E$6:$E$97&lt;&gt;"")),0),"0.0%")&amp;" Complete"</f>
        <v>Staged: 0/88 • 0.0% Complete</v>
      </c>
      <c r="AP2" s="72"/>
      <c r="AQ2" s="72"/>
      <c r="AR2" s="72"/>
      <c r="AS2" s="72"/>
      <c r="AT2" s="72"/>
      <c r="AU2" s="72"/>
      <c r="AV2" s="72"/>
    </row>
    <row r="3" spans="1:48" ht="54.95" customHeight="1" x14ac:dyDescent="0.2">
      <c r="O3" s="73" t="s">
        <v>26</v>
      </c>
      <c r="P3" s="74"/>
      <c r="Q3" s="74"/>
      <c r="R3" s="74"/>
      <c r="S3" s="74"/>
      <c r="T3" s="74"/>
      <c r="U3" s="74"/>
      <c r="V3" s="74"/>
      <c r="W3" s="74"/>
      <c r="X3" s="73" t="s">
        <v>28</v>
      </c>
      <c r="Y3" s="74"/>
      <c r="Z3" s="74"/>
      <c r="AA3" s="74"/>
      <c r="AB3" s="74"/>
      <c r="AC3" s="74"/>
      <c r="AD3" s="74"/>
      <c r="AE3" s="74"/>
      <c r="AF3" s="74"/>
      <c r="AG3" s="74"/>
      <c r="AO3" s="73" t="s">
        <v>27</v>
      </c>
      <c r="AP3" s="74"/>
      <c r="AQ3" s="74"/>
      <c r="AR3" s="74"/>
      <c r="AS3" s="74"/>
      <c r="AT3" s="74"/>
      <c r="AU3" s="74"/>
      <c r="AV3" s="74"/>
    </row>
    <row r="4" spans="1:48" ht="20.100000000000001" customHeight="1" x14ac:dyDescent="0.2">
      <c r="O4" s="28" t="s">
        <v>9</v>
      </c>
      <c r="P4" s="29"/>
      <c r="X4" s="28" t="s">
        <v>9</v>
      </c>
      <c r="Y4" s="29"/>
      <c r="AO4" s="28" t="s">
        <v>9</v>
      </c>
      <c r="AP4" s="29"/>
      <c r="AT4" s="27"/>
    </row>
    <row r="5" spans="1:48" ht="15" customHeight="1" x14ac:dyDescent="0.2">
      <c r="A5" s="34" t="s">
        <v>1</v>
      </c>
      <c r="B5" s="34"/>
      <c r="C5" s="34"/>
      <c r="D5" s="34"/>
      <c r="E5" s="35" t="s">
        <v>2</v>
      </c>
      <c r="F5" s="36" t="s">
        <v>3</v>
      </c>
      <c r="G5" s="36" t="s">
        <v>4</v>
      </c>
      <c r="H5" s="35" t="s">
        <v>5</v>
      </c>
      <c r="I5" s="34" t="s">
        <v>6</v>
      </c>
      <c r="J5" s="34"/>
      <c r="K5" s="37" t="s">
        <v>34</v>
      </c>
      <c r="L5" s="38" t="s">
        <v>54</v>
      </c>
      <c r="M5" s="38" t="s">
        <v>52</v>
      </c>
      <c r="P5" s="30" t="s">
        <v>10</v>
      </c>
      <c r="Q5" s="30" t="s">
        <v>2</v>
      </c>
      <c r="R5" s="30" t="s">
        <v>3</v>
      </c>
      <c r="S5" s="30" t="s">
        <v>11</v>
      </c>
      <c r="T5" s="31" t="s">
        <v>12</v>
      </c>
      <c r="U5" s="30" t="s">
        <v>13</v>
      </c>
      <c r="V5" s="30" t="s">
        <v>14</v>
      </c>
      <c r="W5" s="30" t="s">
        <v>15</v>
      </c>
      <c r="Y5" s="30" t="s">
        <v>10</v>
      </c>
      <c r="Z5" s="30" t="s">
        <v>2</v>
      </c>
      <c r="AA5" s="30" t="s">
        <v>3</v>
      </c>
      <c r="AB5" s="30" t="s">
        <v>11</v>
      </c>
      <c r="AC5" s="31" t="s">
        <v>64</v>
      </c>
      <c r="AD5" s="30" t="s">
        <v>13</v>
      </c>
      <c r="AE5" s="30"/>
      <c r="AF5" s="30" t="s">
        <v>15</v>
      </c>
      <c r="AG5" s="30" t="s">
        <v>16</v>
      </c>
      <c r="AP5" s="30" t="s">
        <v>10</v>
      </c>
      <c r="AQ5" s="30" t="s">
        <v>2</v>
      </c>
      <c r="AR5" s="30" t="s">
        <v>3</v>
      </c>
      <c r="AS5" s="30" t="s">
        <v>11</v>
      </c>
      <c r="AT5" s="30" t="s">
        <v>12</v>
      </c>
      <c r="AU5" s="30" t="s">
        <v>13</v>
      </c>
      <c r="AV5" s="30" t="s">
        <v>15</v>
      </c>
    </row>
    <row r="6" spans="1:48" ht="8.25" customHeight="1" x14ac:dyDescent="0.2"/>
    <row r="7" spans="1:48" ht="13.5" customHeight="1" x14ac:dyDescent="0.2">
      <c r="A7" s="39" t="s">
        <v>55</v>
      </c>
      <c r="B7" s="39"/>
      <c r="C7" s="39"/>
      <c r="D7" s="39"/>
      <c r="I7" s="40"/>
      <c r="J7" s="40"/>
    </row>
    <row r="8" spans="1:48" ht="13.5" customHeight="1" x14ac:dyDescent="0.2">
      <c r="A8" s="41" t="s">
        <v>66</v>
      </c>
      <c r="B8" s="41"/>
      <c r="C8" s="41"/>
      <c r="D8" s="41"/>
      <c r="E8" s="42">
        <v>231597</v>
      </c>
      <c r="F8" s="43">
        <v>3</v>
      </c>
      <c r="G8" s="43">
        <v>1</v>
      </c>
      <c r="H8" s="44" t="s">
        <v>67</v>
      </c>
      <c r="I8" s="41" t="s">
        <v>68</v>
      </c>
      <c r="J8" s="41"/>
      <c r="M8" s="45"/>
    </row>
    <row r="9" spans="1:48" ht="13.5" customHeight="1" x14ac:dyDescent="0.2">
      <c r="A9" s="61" t="s">
        <v>69</v>
      </c>
      <c r="B9" s="61"/>
      <c r="C9" s="61"/>
      <c r="D9" s="61"/>
      <c r="E9" s="42">
        <v>231740</v>
      </c>
      <c r="F9" s="43">
        <v>1</v>
      </c>
      <c r="G9" s="43">
        <v>1</v>
      </c>
      <c r="H9" s="44" t="s">
        <v>70</v>
      </c>
      <c r="I9" s="61" t="s">
        <v>71</v>
      </c>
      <c r="J9" s="61"/>
      <c r="M9" s="45"/>
    </row>
    <row r="10" spans="1:48" ht="13.5" customHeight="1" x14ac:dyDescent="0.2">
      <c r="A10" s="62" t="s">
        <v>69</v>
      </c>
      <c r="B10" s="63"/>
      <c r="C10" s="63"/>
      <c r="D10" s="64"/>
      <c r="E10" s="56">
        <v>231740</v>
      </c>
      <c r="F10" s="57">
        <v>1</v>
      </c>
      <c r="G10" s="57">
        <v>1</v>
      </c>
      <c r="H10" s="58" t="s">
        <v>70</v>
      </c>
      <c r="I10" s="65" t="s">
        <v>71</v>
      </c>
      <c r="J10" s="64"/>
      <c r="K10" s="59"/>
      <c r="L10" s="60" t="s">
        <v>54</v>
      </c>
      <c r="M10" s="45"/>
      <c r="N10" s="55"/>
    </row>
    <row r="11" spans="1:48" ht="13.5" customHeight="1" x14ac:dyDescent="0.2">
      <c r="A11" s="66" t="s">
        <v>7</v>
      </c>
      <c r="B11" s="66"/>
      <c r="C11" s="66"/>
      <c r="D11" s="66"/>
      <c r="I11" s="67"/>
      <c r="J11" s="67"/>
    </row>
    <row r="12" spans="1:48" ht="13.5" customHeight="1" x14ac:dyDescent="0.2">
      <c r="A12" s="41" t="s">
        <v>72</v>
      </c>
      <c r="B12" s="41"/>
      <c r="C12" s="41"/>
      <c r="D12" s="41"/>
      <c r="E12" s="42">
        <v>231613</v>
      </c>
      <c r="F12" s="43">
        <v>1</v>
      </c>
      <c r="G12" s="43">
        <v>1</v>
      </c>
      <c r="H12" s="44" t="s">
        <v>62</v>
      </c>
      <c r="I12" s="41" t="s">
        <v>68</v>
      </c>
      <c r="J12" s="41"/>
      <c r="M12" s="45"/>
    </row>
    <row r="13" spans="1:48" ht="13.5" customHeight="1" x14ac:dyDescent="0.2">
      <c r="A13" s="41" t="s">
        <v>72</v>
      </c>
      <c r="B13" s="41"/>
      <c r="C13" s="41"/>
      <c r="D13" s="41"/>
      <c r="E13" s="42">
        <v>231613</v>
      </c>
      <c r="F13" s="43">
        <v>2</v>
      </c>
      <c r="G13" s="43">
        <v>1</v>
      </c>
      <c r="H13" s="44" t="s">
        <v>38</v>
      </c>
      <c r="I13" s="41" t="s">
        <v>68</v>
      </c>
      <c r="J13" s="41"/>
      <c r="M13" s="45"/>
    </row>
    <row r="14" spans="1:48" ht="13.5" customHeight="1" x14ac:dyDescent="0.2">
      <c r="A14" s="41" t="s">
        <v>72</v>
      </c>
      <c r="B14" s="41"/>
      <c r="C14" s="41"/>
      <c r="D14" s="41"/>
      <c r="E14" s="42">
        <v>231613</v>
      </c>
      <c r="F14" s="43">
        <v>3</v>
      </c>
      <c r="G14" s="43">
        <v>1</v>
      </c>
      <c r="H14" s="44" t="s">
        <v>73</v>
      </c>
      <c r="I14" s="41" t="s">
        <v>68</v>
      </c>
      <c r="J14" s="41"/>
      <c r="M14" s="45"/>
    </row>
    <row r="15" spans="1:48" ht="13.5" customHeight="1" x14ac:dyDescent="0.2">
      <c r="A15" s="41" t="s">
        <v>72</v>
      </c>
      <c r="B15" s="41"/>
      <c r="C15" s="41"/>
      <c r="D15" s="41"/>
      <c r="E15" s="42">
        <v>231613</v>
      </c>
      <c r="F15" s="43">
        <v>4</v>
      </c>
      <c r="G15" s="43">
        <v>1</v>
      </c>
      <c r="H15" s="44" t="s">
        <v>74</v>
      </c>
      <c r="I15" s="41" t="s">
        <v>68</v>
      </c>
      <c r="J15" s="41"/>
      <c r="M15" s="45"/>
    </row>
    <row r="16" spans="1:48" ht="13.5" customHeight="1" x14ac:dyDescent="0.2">
      <c r="A16" s="41" t="s">
        <v>75</v>
      </c>
      <c r="B16" s="41"/>
      <c r="C16" s="41"/>
      <c r="D16" s="41"/>
      <c r="E16" s="42">
        <v>231680</v>
      </c>
      <c r="F16" s="43">
        <v>1</v>
      </c>
      <c r="G16" s="43">
        <v>1</v>
      </c>
      <c r="H16" s="44" t="s">
        <v>40</v>
      </c>
      <c r="I16" s="41" t="s">
        <v>37</v>
      </c>
      <c r="J16" s="41"/>
      <c r="M16" s="45"/>
    </row>
    <row r="17" spans="1:13" ht="13.5" customHeight="1" x14ac:dyDescent="0.2">
      <c r="A17" s="41" t="s">
        <v>76</v>
      </c>
      <c r="B17" s="41"/>
      <c r="C17" s="41"/>
      <c r="D17" s="41"/>
      <c r="E17" s="42">
        <v>231681</v>
      </c>
      <c r="F17" s="43">
        <v>1</v>
      </c>
      <c r="G17" s="43">
        <v>1</v>
      </c>
      <c r="H17" s="44" t="s">
        <v>77</v>
      </c>
      <c r="I17" s="41" t="s">
        <v>78</v>
      </c>
      <c r="J17" s="41"/>
      <c r="M17" s="45"/>
    </row>
    <row r="18" spans="1:13" ht="13.5" customHeight="1" x14ac:dyDescent="0.2">
      <c r="A18" s="41" t="s">
        <v>76</v>
      </c>
      <c r="B18" s="41"/>
      <c r="C18" s="41"/>
      <c r="D18" s="41"/>
      <c r="E18" s="42">
        <v>231681</v>
      </c>
      <c r="F18" s="43">
        <v>2</v>
      </c>
      <c r="G18" s="43">
        <v>1</v>
      </c>
      <c r="H18" s="44" t="s">
        <v>79</v>
      </c>
      <c r="I18" s="41" t="s">
        <v>78</v>
      </c>
      <c r="J18" s="41"/>
      <c r="M18" s="45"/>
    </row>
    <row r="19" spans="1:13" ht="13.5" customHeight="1" x14ac:dyDescent="0.2">
      <c r="A19" s="41" t="s">
        <v>76</v>
      </c>
      <c r="B19" s="41"/>
      <c r="C19" s="41"/>
      <c r="D19" s="41"/>
      <c r="E19" s="42">
        <v>231681</v>
      </c>
      <c r="F19" s="43">
        <v>3</v>
      </c>
      <c r="G19" s="43">
        <v>1</v>
      </c>
      <c r="H19" s="44" t="s">
        <v>77</v>
      </c>
      <c r="I19" s="41" t="s">
        <v>78</v>
      </c>
      <c r="J19" s="41"/>
      <c r="M19" s="45"/>
    </row>
    <row r="20" spans="1:13" ht="13.5" customHeight="1" x14ac:dyDescent="0.2">
      <c r="A20" s="41" t="s">
        <v>80</v>
      </c>
      <c r="B20" s="41"/>
      <c r="C20" s="41"/>
      <c r="D20" s="41"/>
      <c r="E20" s="42">
        <v>231705</v>
      </c>
      <c r="F20" s="43">
        <v>1</v>
      </c>
      <c r="G20" s="43">
        <v>4</v>
      </c>
      <c r="H20" s="44" t="s">
        <v>43</v>
      </c>
      <c r="I20" s="41" t="s">
        <v>42</v>
      </c>
      <c r="J20" s="41"/>
      <c r="M20" s="45"/>
    </row>
    <row r="21" spans="1:13" ht="13.5" customHeight="1" x14ac:dyDescent="0.2">
      <c r="A21" s="41" t="s">
        <v>81</v>
      </c>
      <c r="B21" s="41"/>
      <c r="C21" s="41"/>
      <c r="D21" s="41"/>
      <c r="E21" s="42">
        <v>231706</v>
      </c>
      <c r="F21" s="43">
        <v>1</v>
      </c>
      <c r="G21" s="43">
        <v>1</v>
      </c>
      <c r="H21" s="44" t="s">
        <v>41</v>
      </c>
      <c r="I21" s="41" t="s">
        <v>42</v>
      </c>
      <c r="J21" s="41"/>
      <c r="M21" s="45"/>
    </row>
    <row r="22" spans="1:13" ht="13.5" customHeight="1" x14ac:dyDescent="0.2">
      <c r="A22" s="41" t="s">
        <v>81</v>
      </c>
      <c r="B22" s="41"/>
      <c r="C22" s="41"/>
      <c r="D22" s="41"/>
      <c r="E22" s="42">
        <v>231706</v>
      </c>
      <c r="F22" s="43">
        <v>2</v>
      </c>
      <c r="G22" s="43">
        <v>2</v>
      </c>
      <c r="H22" s="44" t="s">
        <v>43</v>
      </c>
      <c r="I22" s="41" t="s">
        <v>42</v>
      </c>
      <c r="J22" s="41"/>
      <c r="M22" s="45"/>
    </row>
    <row r="23" spans="1:13" ht="13.5" customHeight="1" x14ac:dyDescent="0.2">
      <c r="A23" s="41" t="s">
        <v>82</v>
      </c>
      <c r="B23" s="41"/>
      <c r="C23" s="41"/>
      <c r="D23" s="41"/>
      <c r="E23" s="42">
        <v>231708</v>
      </c>
      <c r="F23" s="43">
        <v>1</v>
      </c>
      <c r="G23" s="43">
        <v>1</v>
      </c>
      <c r="H23" s="44" t="s">
        <v>83</v>
      </c>
      <c r="I23" s="41" t="s">
        <v>60</v>
      </c>
      <c r="J23" s="41"/>
      <c r="M23" s="45"/>
    </row>
    <row r="24" spans="1:13" ht="13.5" customHeight="1" x14ac:dyDescent="0.2">
      <c r="A24" s="41" t="s">
        <v>84</v>
      </c>
      <c r="B24" s="41"/>
      <c r="C24" s="41"/>
      <c r="D24" s="41"/>
      <c r="E24" s="42">
        <v>231709</v>
      </c>
      <c r="F24" s="43">
        <v>1</v>
      </c>
      <c r="G24" s="43">
        <v>1</v>
      </c>
      <c r="H24" s="44" t="s">
        <v>39</v>
      </c>
      <c r="I24" s="41" t="s">
        <v>60</v>
      </c>
      <c r="J24" s="41"/>
      <c r="M24" s="45"/>
    </row>
    <row r="25" spans="1:13" ht="13.5" customHeight="1" x14ac:dyDescent="0.2">
      <c r="A25" s="41" t="s">
        <v>84</v>
      </c>
      <c r="B25" s="41"/>
      <c r="C25" s="41"/>
      <c r="D25" s="41"/>
      <c r="E25" s="42">
        <v>231709</v>
      </c>
      <c r="F25" s="43">
        <v>2</v>
      </c>
      <c r="G25" s="43">
        <v>1</v>
      </c>
      <c r="H25" s="44" t="s">
        <v>85</v>
      </c>
      <c r="I25" s="41" t="s">
        <v>60</v>
      </c>
      <c r="J25" s="41"/>
      <c r="M25" s="45"/>
    </row>
    <row r="26" spans="1:13" ht="13.5" customHeight="1" x14ac:dyDescent="0.2">
      <c r="A26" s="41" t="s">
        <v>86</v>
      </c>
      <c r="B26" s="41"/>
      <c r="C26" s="41"/>
      <c r="D26" s="41"/>
      <c r="E26" s="42">
        <v>231710</v>
      </c>
      <c r="F26" s="43">
        <v>1</v>
      </c>
      <c r="G26" s="43">
        <v>2</v>
      </c>
      <c r="H26" s="44" t="s">
        <v>41</v>
      </c>
      <c r="I26" s="41" t="s">
        <v>42</v>
      </c>
      <c r="J26" s="41"/>
      <c r="M26" s="45"/>
    </row>
    <row r="27" spans="1:13" ht="13.5" customHeight="1" x14ac:dyDescent="0.2">
      <c r="A27" s="41" t="s">
        <v>86</v>
      </c>
      <c r="B27" s="41"/>
      <c r="C27" s="41"/>
      <c r="D27" s="41"/>
      <c r="E27" s="42">
        <v>231710</v>
      </c>
      <c r="F27" s="43">
        <v>2</v>
      </c>
      <c r="G27" s="43">
        <v>4</v>
      </c>
      <c r="H27" s="44" t="s">
        <v>43</v>
      </c>
      <c r="I27" s="41" t="s">
        <v>42</v>
      </c>
      <c r="J27" s="41"/>
      <c r="M27" s="45"/>
    </row>
    <row r="28" spans="1:13" ht="13.5" customHeight="1" x14ac:dyDescent="0.2">
      <c r="A28" s="41" t="s">
        <v>87</v>
      </c>
      <c r="B28" s="41"/>
      <c r="C28" s="41"/>
      <c r="D28" s="41"/>
      <c r="E28" s="42">
        <v>231711</v>
      </c>
      <c r="F28" s="43">
        <v>1</v>
      </c>
      <c r="G28" s="43">
        <v>1</v>
      </c>
      <c r="H28" s="44" t="s">
        <v>88</v>
      </c>
      <c r="I28" s="41" t="s">
        <v>61</v>
      </c>
      <c r="J28" s="41"/>
      <c r="M28" s="45"/>
    </row>
    <row r="29" spans="1:13" ht="13.5" customHeight="1" x14ac:dyDescent="0.2">
      <c r="A29" s="41" t="s">
        <v>89</v>
      </c>
      <c r="B29" s="41"/>
      <c r="C29" s="41"/>
      <c r="D29" s="41"/>
      <c r="E29" s="42">
        <v>231712</v>
      </c>
      <c r="F29" s="43">
        <v>1</v>
      </c>
      <c r="G29" s="43">
        <v>1</v>
      </c>
      <c r="H29" s="44" t="s">
        <v>62</v>
      </c>
      <c r="I29" s="41" t="s">
        <v>60</v>
      </c>
      <c r="J29" s="41"/>
      <c r="M29" s="45"/>
    </row>
    <row r="30" spans="1:13" ht="13.5" customHeight="1" x14ac:dyDescent="0.2">
      <c r="A30" s="41" t="s">
        <v>90</v>
      </c>
      <c r="B30" s="41"/>
      <c r="C30" s="41"/>
      <c r="D30" s="41"/>
      <c r="E30" s="42">
        <v>231714</v>
      </c>
      <c r="F30" s="43">
        <v>1</v>
      </c>
      <c r="G30" s="43">
        <v>1</v>
      </c>
      <c r="H30" s="44" t="s">
        <v>91</v>
      </c>
      <c r="I30" s="41" t="s">
        <v>92</v>
      </c>
      <c r="J30" s="41"/>
      <c r="M30" s="45"/>
    </row>
    <row r="31" spans="1:13" ht="13.5" customHeight="1" x14ac:dyDescent="0.2">
      <c r="A31" s="41" t="s">
        <v>93</v>
      </c>
      <c r="B31" s="41"/>
      <c r="C31" s="41"/>
      <c r="D31" s="41"/>
      <c r="E31" s="42">
        <v>231716</v>
      </c>
      <c r="F31" s="43">
        <v>1</v>
      </c>
      <c r="G31" s="43">
        <v>1</v>
      </c>
      <c r="H31" s="44" t="s">
        <v>57</v>
      </c>
      <c r="I31" s="41" t="s">
        <v>92</v>
      </c>
      <c r="J31" s="41"/>
      <c r="M31" s="45"/>
    </row>
    <row r="32" spans="1:13" ht="13.5" customHeight="1" x14ac:dyDescent="0.2">
      <c r="A32" s="41" t="s">
        <v>93</v>
      </c>
      <c r="B32" s="41"/>
      <c r="C32" s="41"/>
      <c r="D32" s="41"/>
      <c r="E32" s="42">
        <v>231716</v>
      </c>
      <c r="F32" s="43">
        <v>2</v>
      </c>
      <c r="G32" s="43">
        <v>1</v>
      </c>
      <c r="H32" s="44" t="s">
        <v>39</v>
      </c>
      <c r="I32" s="41" t="s">
        <v>92</v>
      </c>
      <c r="J32" s="41"/>
      <c r="M32" s="45"/>
    </row>
    <row r="33" spans="1:13" ht="13.5" customHeight="1" x14ac:dyDescent="0.2">
      <c r="A33" s="41" t="s">
        <v>94</v>
      </c>
      <c r="B33" s="41"/>
      <c r="C33" s="41"/>
      <c r="D33" s="41"/>
      <c r="E33" s="42">
        <v>231717</v>
      </c>
      <c r="F33" s="43">
        <v>1</v>
      </c>
      <c r="G33" s="43">
        <v>1</v>
      </c>
      <c r="H33" s="44" t="s">
        <v>59</v>
      </c>
      <c r="I33" s="41" t="s">
        <v>60</v>
      </c>
      <c r="J33" s="41"/>
      <c r="M33" s="45"/>
    </row>
    <row r="34" spans="1:13" ht="13.5" customHeight="1" x14ac:dyDescent="0.2">
      <c r="A34" s="41" t="s">
        <v>95</v>
      </c>
      <c r="B34" s="41"/>
      <c r="C34" s="41"/>
      <c r="D34" s="41"/>
      <c r="E34" s="42">
        <v>231718</v>
      </c>
      <c r="F34" s="43">
        <v>1</v>
      </c>
      <c r="G34" s="43">
        <v>1</v>
      </c>
      <c r="H34" s="44" t="s">
        <v>63</v>
      </c>
      <c r="I34" s="41" t="s">
        <v>60</v>
      </c>
      <c r="J34" s="41"/>
      <c r="M34" s="45"/>
    </row>
    <row r="35" spans="1:13" ht="13.5" customHeight="1" x14ac:dyDescent="0.2">
      <c r="A35" s="41" t="s">
        <v>96</v>
      </c>
      <c r="B35" s="41"/>
      <c r="C35" s="41"/>
      <c r="D35" s="41"/>
      <c r="E35" s="42">
        <v>231719</v>
      </c>
      <c r="F35" s="43">
        <v>1</v>
      </c>
      <c r="G35" s="43">
        <v>1</v>
      </c>
      <c r="H35" s="44" t="s">
        <v>41</v>
      </c>
      <c r="I35" s="41" t="s">
        <v>60</v>
      </c>
      <c r="J35" s="41"/>
      <c r="M35" s="45"/>
    </row>
    <row r="36" spans="1:13" ht="13.5" customHeight="1" x14ac:dyDescent="0.2">
      <c r="A36" s="41" t="s">
        <v>96</v>
      </c>
      <c r="B36" s="41"/>
      <c r="C36" s="41"/>
      <c r="D36" s="41"/>
      <c r="E36" s="42">
        <v>231719</v>
      </c>
      <c r="F36" s="43">
        <v>2</v>
      </c>
      <c r="G36" s="43">
        <v>1</v>
      </c>
      <c r="H36" s="44" t="s">
        <v>97</v>
      </c>
      <c r="I36" s="41" t="s">
        <v>60</v>
      </c>
      <c r="J36" s="41"/>
      <c r="M36" s="45"/>
    </row>
    <row r="37" spans="1:13" ht="13.5" customHeight="1" x14ac:dyDescent="0.2">
      <c r="A37" s="41" t="s">
        <v>98</v>
      </c>
      <c r="B37" s="41"/>
      <c r="C37" s="41"/>
      <c r="D37" s="41"/>
      <c r="E37" s="42">
        <v>231720</v>
      </c>
      <c r="F37" s="43">
        <v>1</v>
      </c>
      <c r="G37" s="43">
        <v>1</v>
      </c>
      <c r="H37" s="44" t="s">
        <v>41</v>
      </c>
      <c r="I37" s="41" t="s">
        <v>60</v>
      </c>
      <c r="J37" s="41"/>
      <c r="M37" s="45"/>
    </row>
    <row r="38" spans="1:13" ht="13.5" customHeight="1" x14ac:dyDescent="0.2">
      <c r="A38" s="41" t="s">
        <v>99</v>
      </c>
      <c r="B38" s="41"/>
      <c r="C38" s="41"/>
      <c r="D38" s="41"/>
      <c r="E38" s="42">
        <v>231721</v>
      </c>
      <c r="F38" s="43">
        <v>1</v>
      </c>
      <c r="G38" s="43">
        <v>1</v>
      </c>
      <c r="H38" s="44" t="s">
        <v>41</v>
      </c>
      <c r="I38" s="41" t="s">
        <v>42</v>
      </c>
      <c r="J38" s="41"/>
      <c r="M38" s="45"/>
    </row>
    <row r="39" spans="1:13" ht="13.5" customHeight="1" x14ac:dyDescent="0.2">
      <c r="A39" s="41" t="s">
        <v>99</v>
      </c>
      <c r="B39" s="41"/>
      <c r="C39" s="41"/>
      <c r="D39" s="41"/>
      <c r="E39" s="42">
        <v>231721</v>
      </c>
      <c r="F39" s="43">
        <v>2</v>
      </c>
      <c r="G39" s="43">
        <v>2</v>
      </c>
      <c r="H39" s="44" t="s">
        <v>43</v>
      </c>
      <c r="I39" s="41" t="s">
        <v>42</v>
      </c>
      <c r="J39" s="41"/>
      <c r="M39" s="45"/>
    </row>
    <row r="40" spans="1:13" ht="13.5" customHeight="1" x14ac:dyDescent="0.2">
      <c r="A40" s="41" t="s">
        <v>100</v>
      </c>
      <c r="B40" s="41"/>
      <c r="C40" s="41"/>
      <c r="D40" s="41"/>
      <c r="E40" s="42">
        <v>231722</v>
      </c>
      <c r="F40" s="43">
        <v>1</v>
      </c>
      <c r="G40" s="43">
        <v>1</v>
      </c>
      <c r="H40" s="44" t="s">
        <v>44</v>
      </c>
      <c r="I40" s="41" t="s">
        <v>36</v>
      </c>
      <c r="J40" s="41"/>
      <c r="M40" s="45"/>
    </row>
    <row r="41" spans="1:13" ht="13.5" customHeight="1" x14ac:dyDescent="0.2">
      <c r="A41" s="41" t="s">
        <v>101</v>
      </c>
      <c r="B41" s="41"/>
      <c r="C41" s="41"/>
      <c r="D41" s="41"/>
      <c r="E41" s="42">
        <v>231724</v>
      </c>
      <c r="F41" s="43">
        <v>1</v>
      </c>
      <c r="G41" s="43">
        <v>1</v>
      </c>
      <c r="H41" s="44" t="s">
        <v>102</v>
      </c>
      <c r="I41" s="41" t="s">
        <v>92</v>
      </c>
      <c r="J41" s="41"/>
      <c r="M41" s="45"/>
    </row>
    <row r="42" spans="1:13" ht="13.5" customHeight="1" x14ac:dyDescent="0.2">
      <c r="A42" s="41" t="s">
        <v>101</v>
      </c>
      <c r="B42" s="41"/>
      <c r="C42" s="41"/>
      <c r="D42" s="41"/>
      <c r="E42" s="42">
        <v>231724</v>
      </c>
      <c r="F42" s="43">
        <v>2</v>
      </c>
      <c r="G42" s="43">
        <v>1</v>
      </c>
      <c r="H42" s="44" t="s">
        <v>103</v>
      </c>
      <c r="I42" s="41" t="s">
        <v>92</v>
      </c>
      <c r="J42" s="41"/>
      <c r="M42" s="45"/>
    </row>
    <row r="43" spans="1:13" ht="13.5" customHeight="1" x14ac:dyDescent="0.2">
      <c r="A43" s="41" t="s">
        <v>104</v>
      </c>
      <c r="B43" s="41"/>
      <c r="C43" s="41"/>
      <c r="D43" s="41"/>
      <c r="E43" s="42">
        <v>231725</v>
      </c>
      <c r="F43" s="43">
        <v>1</v>
      </c>
      <c r="G43" s="43">
        <v>1</v>
      </c>
      <c r="H43" s="44" t="s">
        <v>105</v>
      </c>
      <c r="I43" s="41" t="s">
        <v>106</v>
      </c>
      <c r="J43" s="41"/>
      <c r="M43" s="45"/>
    </row>
    <row r="44" spans="1:13" ht="13.5" customHeight="1" x14ac:dyDescent="0.2">
      <c r="A44" s="41" t="s">
        <v>104</v>
      </c>
      <c r="B44" s="41"/>
      <c r="C44" s="41"/>
      <c r="D44" s="41"/>
      <c r="E44" s="42">
        <v>231725</v>
      </c>
      <c r="F44" s="43">
        <v>2</v>
      </c>
      <c r="G44" s="43">
        <v>1</v>
      </c>
      <c r="H44" s="44" t="s">
        <v>107</v>
      </c>
      <c r="I44" s="41" t="s">
        <v>106</v>
      </c>
      <c r="J44" s="41"/>
      <c r="M44" s="45"/>
    </row>
    <row r="45" spans="1:13" ht="13.5" customHeight="1" x14ac:dyDescent="0.2">
      <c r="A45" s="41" t="s">
        <v>108</v>
      </c>
      <c r="B45" s="41"/>
      <c r="C45" s="41"/>
      <c r="D45" s="41"/>
      <c r="E45" s="42">
        <v>231726</v>
      </c>
      <c r="F45" s="43">
        <v>1</v>
      </c>
      <c r="G45" s="43">
        <v>1</v>
      </c>
      <c r="H45" s="44" t="s">
        <v>56</v>
      </c>
      <c r="I45" s="41" t="s">
        <v>106</v>
      </c>
      <c r="J45" s="41"/>
      <c r="M45" s="45"/>
    </row>
    <row r="46" spans="1:13" ht="13.5" customHeight="1" x14ac:dyDescent="0.2">
      <c r="A46" s="41" t="s">
        <v>108</v>
      </c>
      <c r="B46" s="41"/>
      <c r="C46" s="41"/>
      <c r="D46" s="41"/>
      <c r="E46" s="42">
        <v>231726</v>
      </c>
      <c r="F46" s="43">
        <v>2</v>
      </c>
      <c r="G46" s="43">
        <v>1</v>
      </c>
      <c r="H46" s="44" t="s">
        <v>109</v>
      </c>
      <c r="I46" s="41" t="s">
        <v>106</v>
      </c>
      <c r="J46" s="41"/>
      <c r="M46" s="45"/>
    </row>
    <row r="47" spans="1:13" ht="13.5" customHeight="1" x14ac:dyDescent="0.2">
      <c r="A47" s="41" t="s">
        <v>108</v>
      </c>
      <c r="B47" s="41"/>
      <c r="C47" s="41"/>
      <c r="D47" s="41"/>
      <c r="E47" s="42">
        <v>231726</v>
      </c>
      <c r="F47" s="43">
        <v>3</v>
      </c>
      <c r="G47" s="43">
        <v>1</v>
      </c>
      <c r="H47" s="44" t="s">
        <v>110</v>
      </c>
      <c r="I47" s="41" t="s">
        <v>106</v>
      </c>
      <c r="J47" s="41"/>
      <c r="M47" s="45"/>
    </row>
    <row r="48" spans="1:13" ht="13.5" customHeight="1" x14ac:dyDescent="0.2">
      <c r="A48" s="41" t="s">
        <v>108</v>
      </c>
      <c r="B48" s="41"/>
      <c r="C48" s="41"/>
      <c r="D48" s="41"/>
      <c r="E48" s="42">
        <v>231726</v>
      </c>
      <c r="F48" s="43">
        <v>4</v>
      </c>
      <c r="G48" s="43">
        <v>1</v>
      </c>
      <c r="H48" s="44" t="s">
        <v>111</v>
      </c>
      <c r="I48" s="41" t="s">
        <v>106</v>
      </c>
      <c r="J48" s="41"/>
      <c r="M48" s="45"/>
    </row>
    <row r="49" spans="1:14" ht="13.5" customHeight="1" x14ac:dyDescent="0.2">
      <c r="A49" s="41" t="s">
        <v>112</v>
      </c>
      <c r="B49" s="41"/>
      <c r="C49" s="41"/>
      <c r="D49" s="41"/>
      <c r="E49" s="42">
        <v>231727</v>
      </c>
      <c r="F49" s="43">
        <v>1</v>
      </c>
      <c r="G49" s="43">
        <v>1</v>
      </c>
      <c r="H49" s="44" t="s">
        <v>102</v>
      </c>
      <c r="I49" s="41" t="s">
        <v>92</v>
      </c>
      <c r="J49" s="41"/>
      <c r="M49" s="45"/>
    </row>
    <row r="50" spans="1:14" ht="13.5" customHeight="1" x14ac:dyDescent="0.2">
      <c r="A50" s="41" t="s">
        <v>113</v>
      </c>
      <c r="B50" s="41"/>
      <c r="C50" s="41"/>
      <c r="D50" s="41"/>
      <c r="E50" s="42">
        <v>231730</v>
      </c>
      <c r="F50" s="43">
        <v>1</v>
      </c>
      <c r="G50" s="43">
        <v>1</v>
      </c>
      <c r="H50" s="44" t="s">
        <v>114</v>
      </c>
      <c r="I50" s="41" t="s">
        <v>45</v>
      </c>
      <c r="J50" s="41"/>
      <c r="M50" s="45"/>
    </row>
    <row r="51" spans="1:14" ht="13.5" customHeight="1" x14ac:dyDescent="0.2">
      <c r="A51" s="41" t="s">
        <v>115</v>
      </c>
      <c r="B51" s="41"/>
      <c r="C51" s="41"/>
      <c r="D51" s="41"/>
      <c r="E51" s="42">
        <v>231731</v>
      </c>
      <c r="F51" s="43">
        <v>1</v>
      </c>
      <c r="G51" s="43">
        <v>1</v>
      </c>
      <c r="H51" s="44" t="s">
        <v>107</v>
      </c>
      <c r="I51" s="41" t="s">
        <v>106</v>
      </c>
      <c r="J51" s="41"/>
      <c r="M51" s="45"/>
    </row>
    <row r="52" spans="1:14" ht="13.5" customHeight="1" x14ac:dyDescent="0.2">
      <c r="A52" s="41" t="s">
        <v>116</v>
      </c>
      <c r="B52" s="41"/>
      <c r="C52" s="41"/>
      <c r="D52" s="41"/>
      <c r="E52" s="42">
        <v>231732</v>
      </c>
      <c r="F52" s="43">
        <v>1</v>
      </c>
      <c r="G52" s="43">
        <v>1</v>
      </c>
      <c r="H52" s="44" t="s">
        <v>77</v>
      </c>
      <c r="I52" s="41" t="s">
        <v>106</v>
      </c>
      <c r="J52" s="41"/>
      <c r="M52" s="45"/>
    </row>
    <row r="53" spans="1:14" ht="13.5" customHeight="1" x14ac:dyDescent="0.2">
      <c r="A53" s="41" t="s">
        <v>117</v>
      </c>
      <c r="B53" s="41"/>
      <c r="C53" s="41"/>
      <c r="D53" s="41"/>
      <c r="E53" s="42">
        <v>231733</v>
      </c>
      <c r="F53" s="43">
        <v>1</v>
      </c>
      <c r="G53" s="43">
        <v>1</v>
      </c>
      <c r="H53" s="44" t="s">
        <v>77</v>
      </c>
      <c r="I53" s="41" t="s">
        <v>106</v>
      </c>
      <c r="J53" s="41"/>
      <c r="M53" s="45"/>
    </row>
    <row r="54" spans="1:14" ht="13.5" customHeight="1" x14ac:dyDescent="0.2">
      <c r="A54" s="41" t="s">
        <v>118</v>
      </c>
      <c r="B54" s="41"/>
      <c r="C54" s="41"/>
      <c r="D54" s="41"/>
      <c r="E54" s="42">
        <v>231734</v>
      </c>
      <c r="F54" s="43">
        <v>1</v>
      </c>
      <c r="G54" s="43">
        <v>1</v>
      </c>
      <c r="H54" s="44" t="s">
        <v>119</v>
      </c>
      <c r="I54" s="41" t="s">
        <v>106</v>
      </c>
      <c r="J54" s="41"/>
      <c r="M54" s="45"/>
    </row>
    <row r="55" spans="1:14" ht="13.5" customHeight="1" x14ac:dyDescent="0.2">
      <c r="A55" s="41" t="s">
        <v>120</v>
      </c>
      <c r="B55" s="41"/>
      <c r="C55" s="41"/>
      <c r="D55" s="41"/>
      <c r="E55" s="42">
        <v>231735</v>
      </c>
      <c r="F55" s="43">
        <v>1</v>
      </c>
      <c r="G55" s="43">
        <v>1</v>
      </c>
      <c r="H55" s="44" t="s">
        <v>109</v>
      </c>
      <c r="I55" s="41" t="s">
        <v>106</v>
      </c>
      <c r="J55" s="41"/>
      <c r="M55" s="45"/>
    </row>
    <row r="56" spans="1:14" ht="13.5" customHeight="1" x14ac:dyDescent="0.2">
      <c r="A56" s="41" t="s">
        <v>121</v>
      </c>
      <c r="B56" s="41"/>
      <c r="C56" s="41"/>
      <c r="D56" s="41"/>
      <c r="E56" s="42">
        <v>231736</v>
      </c>
      <c r="F56" s="43">
        <v>1</v>
      </c>
      <c r="G56" s="43">
        <v>1</v>
      </c>
      <c r="H56" s="44" t="s">
        <v>109</v>
      </c>
      <c r="I56" s="41" t="s">
        <v>106</v>
      </c>
      <c r="J56" s="41"/>
      <c r="M56" s="45"/>
    </row>
    <row r="57" spans="1:14" ht="13.5" customHeight="1" x14ac:dyDescent="0.2">
      <c r="A57" s="41" t="s">
        <v>122</v>
      </c>
      <c r="B57" s="41"/>
      <c r="C57" s="41"/>
      <c r="D57" s="41"/>
      <c r="E57" s="42">
        <v>231737</v>
      </c>
      <c r="F57" s="43">
        <v>1</v>
      </c>
      <c r="G57" s="43">
        <v>1</v>
      </c>
      <c r="H57" s="44" t="s">
        <v>123</v>
      </c>
      <c r="I57" s="41" t="s">
        <v>60</v>
      </c>
      <c r="J57" s="41"/>
      <c r="M57" s="45"/>
    </row>
    <row r="58" spans="1:14" ht="13.5" customHeight="1" x14ac:dyDescent="0.2">
      <c r="A58" s="41" t="s">
        <v>124</v>
      </c>
      <c r="B58" s="41"/>
      <c r="C58" s="41"/>
      <c r="D58" s="41"/>
      <c r="E58" s="42">
        <v>231738</v>
      </c>
      <c r="F58" s="43">
        <v>1</v>
      </c>
      <c r="G58" s="43">
        <v>1</v>
      </c>
      <c r="H58" s="44" t="s">
        <v>105</v>
      </c>
      <c r="I58" s="41" t="s">
        <v>106</v>
      </c>
      <c r="J58" s="41"/>
      <c r="M58" s="45"/>
    </row>
    <row r="59" spans="1:14" ht="13.5" customHeight="1" x14ac:dyDescent="0.2">
      <c r="A59" s="61" t="s">
        <v>125</v>
      </c>
      <c r="B59" s="61"/>
      <c r="C59" s="61"/>
      <c r="D59" s="61"/>
      <c r="E59" s="42">
        <v>231739</v>
      </c>
      <c r="F59" s="43">
        <v>1</v>
      </c>
      <c r="G59" s="43">
        <v>1</v>
      </c>
      <c r="H59" s="44" t="s">
        <v>58</v>
      </c>
      <c r="I59" s="61" t="s">
        <v>126</v>
      </c>
      <c r="J59" s="61"/>
      <c r="M59" s="45"/>
    </row>
    <row r="60" spans="1:14" ht="13.5" customHeight="1" x14ac:dyDescent="0.2">
      <c r="A60" s="62" t="s">
        <v>75</v>
      </c>
      <c r="B60" s="63"/>
      <c r="C60" s="63"/>
      <c r="D60" s="64"/>
      <c r="E60" s="56">
        <v>231680</v>
      </c>
      <c r="F60" s="57">
        <v>1</v>
      </c>
      <c r="G60" s="57">
        <v>1</v>
      </c>
      <c r="H60" s="58" t="s">
        <v>40</v>
      </c>
      <c r="I60" s="65" t="s">
        <v>37</v>
      </c>
      <c r="J60" s="64"/>
      <c r="K60" s="59"/>
      <c r="L60" s="60" t="s">
        <v>54</v>
      </c>
      <c r="M60" s="45"/>
      <c r="N60" s="55"/>
    </row>
    <row r="61" spans="1:14" ht="13.5" customHeight="1" x14ac:dyDescent="0.2">
      <c r="A61" s="62" t="s">
        <v>76</v>
      </c>
      <c r="B61" s="63"/>
      <c r="C61" s="63"/>
      <c r="D61" s="64"/>
      <c r="E61" s="56">
        <v>231681</v>
      </c>
      <c r="F61" s="57">
        <v>1</v>
      </c>
      <c r="G61" s="57">
        <v>1</v>
      </c>
      <c r="H61" s="58" t="s">
        <v>77</v>
      </c>
      <c r="I61" s="65" t="s">
        <v>78</v>
      </c>
      <c r="J61" s="64"/>
      <c r="K61" s="59"/>
      <c r="L61" s="60" t="s">
        <v>54</v>
      </c>
      <c r="M61" s="45"/>
      <c r="N61" s="55"/>
    </row>
    <row r="62" spans="1:14" ht="13.5" customHeight="1" x14ac:dyDescent="0.2">
      <c r="A62" s="62" t="s">
        <v>76</v>
      </c>
      <c r="B62" s="63"/>
      <c r="C62" s="63"/>
      <c r="D62" s="64"/>
      <c r="E62" s="56">
        <v>231681</v>
      </c>
      <c r="F62" s="57">
        <v>2</v>
      </c>
      <c r="G62" s="57">
        <v>1</v>
      </c>
      <c r="H62" s="58" t="s">
        <v>79</v>
      </c>
      <c r="I62" s="65" t="s">
        <v>78</v>
      </c>
      <c r="J62" s="64"/>
      <c r="K62" s="59"/>
      <c r="L62" s="60" t="s">
        <v>54</v>
      </c>
      <c r="M62" s="45"/>
      <c r="N62" s="55"/>
    </row>
    <row r="63" spans="1:14" ht="13.5" customHeight="1" x14ac:dyDescent="0.2">
      <c r="A63" s="62" t="s">
        <v>76</v>
      </c>
      <c r="B63" s="63"/>
      <c r="C63" s="63"/>
      <c r="D63" s="64"/>
      <c r="E63" s="56">
        <v>231681</v>
      </c>
      <c r="F63" s="57">
        <v>3</v>
      </c>
      <c r="G63" s="57">
        <v>1</v>
      </c>
      <c r="H63" s="58" t="s">
        <v>77</v>
      </c>
      <c r="I63" s="65" t="s">
        <v>78</v>
      </c>
      <c r="J63" s="64"/>
      <c r="K63" s="59"/>
      <c r="L63" s="60" t="s">
        <v>54</v>
      </c>
      <c r="M63" s="45"/>
      <c r="N63" s="55"/>
    </row>
    <row r="64" spans="1:14" ht="13.5" customHeight="1" x14ac:dyDescent="0.2">
      <c r="A64" s="62" t="s">
        <v>113</v>
      </c>
      <c r="B64" s="63"/>
      <c r="C64" s="63"/>
      <c r="D64" s="64"/>
      <c r="E64" s="56">
        <v>231730</v>
      </c>
      <c r="F64" s="57">
        <v>1</v>
      </c>
      <c r="G64" s="57">
        <v>1</v>
      </c>
      <c r="H64" s="58" t="s">
        <v>114</v>
      </c>
      <c r="I64" s="65" t="s">
        <v>45</v>
      </c>
      <c r="J64" s="64"/>
      <c r="K64" s="59"/>
      <c r="L64" s="60" t="s">
        <v>54</v>
      </c>
      <c r="M64" s="45"/>
      <c r="N64" s="55"/>
    </row>
    <row r="65" spans="1:14" ht="13.5" customHeight="1" x14ac:dyDescent="0.2">
      <c r="A65" s="62" t="s">
        <v>115</v>
      </c>
      <c r="B65" s="63"/>
      <c r="C65" s="63"/>
      <c r="D65" s="64"/>
      <c r="E65" s="56">
        <v>231731</v>
      </c>
      <c r="F65" s="57">
        <v>1</v>
      </c>
      <c r="G65" s="57">
        <v>1</v>
      </c>
      <c r="H65" s="58" t="s">
        <v>107</v>
      </c>
      <c r="I65" s="65" t="s">
        <v>106</v>
      </c>
      <c r="J65" s="64"/>
      <c r="K65" s="59"/>
      <c r="L65" s="60" t="s">
        <v>54</v>
      </c>
      <c r="M65" s="45"/>
      <c r="N65" s="55"/>
    </row>
    <row r="66" spans="1:14" ht="13.5" customHeight="1" x14ac:dyDescent="0.2">
      <c r="A66" s="62" t="s">
        <v>116</v>
      </c>
      <c r="B66" s="63"/>
      <c r="C66" s="63"/>
      <c r="D66" s="64"/>
      <c r="E66" s="56">
        <v>231732</v>
      </c>
      <c r="F66" s="57">
        <v>1</v>
      </c>
      <c r="G66" s="57">
        <v>1</v>
      </c>
      <c r="H66" s="58" t="s">
        <v>77</v>
      </c>
      <c r="I66" s="65" t="s">
        <v>106</v>
      </c>
      <c r="J66" s="64"/>
      <c r="K66" s="59"/>
      <c r="L66" s="60" t="s">
        <v>54</v>
      </c>
      <c r="M66" s="45"/>
      <c r="N66" s="55"/>
    </row>
    <row r="67" spans="1:14" ht="13.5" customHeight="1" x14ac:dyDescent="0.2">
      <c r="A67" s="62" t="s">
        <v>117</v>
      </c>
      <c r="B67" s="63"/>
      <c r="C67" s="63"/>
      <c r="D67" s="64"/>
      <c r="E67" s="56">
        <v>231733</v>
      </c>
      <c r="F67" s="57">
        <v>1</v>
      </c>
      <c r="G67" s="57">
        <v>1</v>
      </c>
      <c r="H67" s="58" t="s">
        <v>77</v>
      </c>
      <c r="I67" s="65" t="s">
        <v>106</v>
      </c>
      <c r="J67" s="64"/>
      <c r="K67" s="59"/>
      <c r="L67" s="60" t="s">
        <v>54</v>
      </c>
      <c r="M67" s="45"/>
      <c r="N67" s="55"/>
    </row>
    <row r="68" spans="1:14" ht="13.5" customHeight="1" x14ac:dyDescent="0.2">
      <c r="A68" s="62" t="s">
        <v>118</v>
      </c>
      <c r="B68" s="63"/>
      <c r="C68" s="63"/>
      <c r="D68" s="64"/>
      <c r="E68" s="56">
        <v>231734</v>
      </c>
      <c r="F68" s="57">
        <v>1</v>
      </c>
      <c r="G68" s="57">
        <v>1</v>
      </c>
      <c r="H68" s="58" t="s">
        <v>119</v>
      </c>
      <c r="I68" s="65" t="s">
        <v>106</v>
      </c>
      <c r="J68" s="64"/>
      <c r="K68" s="59"/>
      <c r="L68" s="60" t="s">
        <v>54</v>
      </c>
      <c r="M68" s="45"/>
      <c r="N68" s="55"/>
    </row>
    <row r="69" spans="1:14" ht="13.5" customHeight="1" x14ac:dyDescent="0.2">
      <c r="A69" s="62" t="s">
        <v>120</v>
      </c>
      <c r="B69" s="63"/>
      <c r="C69" s="63"/>
      <c r="D69" s="64"/>
      <c r="E69" s="56">
        <v>231735</v>
      </c>
      <c r="F69" s="57">
        <v>1</v>
      </c>
      <c r="G69" s="57">
        <v>1</v>
      </c>
      <c r="H69" s="58" t="s">
        <v>109</v>
      </c>
      <c r="I69" s="65" t="s">
        <v>106</v>
      </c>
      <c r="J69" s="64"/>
      <c r="K69" s="59"/>
      <c r="L69" s="60" t="s">
        <v>54</v>
      </c>
      <c r="M69" s="45"/>
      <c r="N69" s="55"/>
    </row>
    <row r="70" spans="1:14" ht="13.5" customHeight="1" x14ac:dyDescent="0.2">
      <c r="A70" s="62" t="s">
        <v>121</v>
      </c>
      <c r="B70" s="63"/>
      <c r="C70" s="63"/>
      <c r="D70" s="64"/>
      <c r="E70" s="56">
        <v>231736</v>
      </c>
      <c r="F70" s="57">
        <v>1</v>
      </c>
      <c r="G70" s="57">
        <v>1</v>
      </c>
      <c r="H70" s="58" t="s">
        <v>109</v>
      </c>
      <c r="I70" s="65" t="s">
        <v>106</v>
      </c>
      <c r="J70" s="64"/>
      <c r="K70" s="59"/>
      <c r="L70" s="60" t="s">
        <v>54</v>
      </c>
      <c r="M70" s="45"/>
      <c r="N70" s="55"/>
    </row>
    <row r="71" spans="1:14" ht="13.5" customHeight="1" x14ac:dyDescent="0.2">
      <c r="A71" s="62" t="s">
        <v>122</v>
      </c>
      <c r="B71" s="63"/>
      <c r="C71" s="63"/>
      <c r="D71" s="64"/>
      <c r="E71" s="56">
        <v>231737</v>
      </c>
      <c r="F71" s="57">
        <v>1</v>
      </c>
      <c r="G71" s="57">
        <v>1</v>
      </c>
      <c r="H71" s="58" t="s">
        <v>123</v>
      </c>
      <c r="I71" s="65" t="s">
        <v>60</v>
      </c>
      <c r="J71" s="64"/>
      <c r="K71" s="59"/>
      <c r="L71" s="60" t="s">
        <v>54</v>
      </c>
      <c r="M71" s="45"/>
      <c r="N71" s="55"/>
    </row>
    <row r="72" spans="1:14" ht="13.5" customHeight="1" x14ac:dyDescent="0.2">
      <c r="A72" s="66" t="s">
        <v>8</v>
      </c>
      <c r="B72" s="66"/>
      <c r="C72" s="66"/>
      <c r="D72" s="66"/>
      <c r="I72" s="67"/>
      <c r="J72" s="67"/>
    </row>
    <row r="73" spans="1:14" ht="13.5" customHeight="1" x14ac:dyDescent="0.2">
      <c r="A73" s="41" t="s">
        <v>127</v>
      </c>
      <c r="B73" s="41"/>
      <c r="C73" s="41"/>
      <c r="D73" s="41"/>
      <c r="E73" s="42">
        <v>231589</v>
      </c>
      <c r="F73" s="43">
        <v>1</v>
      </c>
      <c r="G73" s="43">
        <v>1</v>
      </c>
      <c r="H73" s="44" t="s">
        <v>128</v>
      </c>
      <c r="I73" s="41" t="s">
        <v>126</v>
      </c>
      <c r="J73" s="41"/>
      <c r="M73" s="45"/>
    </row>
    <row r="74" spans="1:14" ht="13.5" customHeight="1" x14ac:dyDescent="0.2">
      <c r="A74" s="41" t="s">
        <v>127</v>
      </c>
      <c r="B74" s="41"/>
      <c r="C74" s="41"/>
      <c r="D74" s="41"/>
      <c r="E74" s="42">
        <v>231589</v>
      </c>
      <c r="F74" s="43">
        <v>2</v>
      </c>
      <c r="G74" s="43">
        <v>1</v>
      </c>
      <c r="H74" s="44" t="s">
        <v>129</v>
      </c>
      <c r="I74" s="41" t="s">
        <v>126</v>
      </c>
      <c r="J74" s="41"/>
      <c r="M74" s="45"/>
    </row>
    <row r="75" spans="1:14" ht="13.5" customHeight="1" x14ac:dyDescent="0.2">
      <c r="A75" s="41" t="s">
        <v>127</v>
      </c>
      <c r="B75" s="41"/>
      <c r="C75" s="41"/>
      <c r="D75" s="41"/>
      <c r="E75" s="42">
        <v>231589</v>
      </c>
      <c r="F75" s="43">
        <v>3</v>
      </c>
      <c r="G75" s="43">
        <v>1</v>
      </c>
      <c r="H75" s="44" t="s">
        <v>130</v>
      </c>
      <c r="I75" s="41" t="s">
        <v>126</v>
      </c>
      <c r="J75" s="41"/>
      <c r="M75" s="45"/>
    </row>
    <row r="76" spans="1:14" ht="13.5" customHeight="1" x14ac:dyDescent="0.2">
      <c r="A76" s="41" t="s">
        <v>131</v>
      </c>
      <c r="B76" s="41"/>
      <c r="C76" s="41"/>
      <c r="D76" s="41"/>
      <c r="E76" s="42">
        <v>231590</v>
      </c>
      <c r="F76" s="43">
        <v>1</v>
      </c>
      <c r="G76" s="43">
        <v>1</v>
      </c>
      <c r="H76" s="44" t="s">
        <v>132</v>
      </c>
      <c r="I76" s="41" t="s">
        <v>133</v>
      </c>
      <c r="J76" s="41"/>
      <c r="M76" s="45"/>
    </row>
    <row r="77" spans="1:14" ht="13.5" customHeight="1" x14ac:dyDescent="0.2">
      <c r="A77" s="41" t="s">
        <v>131</v>
      </c>
      <c r="B77" s="41"/>
      <c r="C77" s="41"/>
      <c r="D77" s="41"/>
      <c r="E77" s="42">
        <v>231590</v>
      </c>
      <c r="F77" s="43">
        <v>2</v>
      </c>
      <c r="G77" s="43">
        <v>1</v>
      </c>
      <c r="H77" s="44" t="s">
        <v>134</v>
      </c>
      <c r="I77" s="41" t="s">
        <v>133</v>
      </c>
      <c r="J77" s="41"/>
      <c r="M77" s="45"/>
    </row>
    <row r="78" spans="1:14" ht="13.5" customHeight="1" x14ac:dyDescent="0.2">
      <c r="A78" s="41" t="s">
        <v>135</v>
      </c>
      <c r="B78" s="41"/>
      <c r="C78" s="41"/>
      <c r="D78" s="41"/>
      <c r="E78" s="42">
        <v>231591</v>
      </c>
      <c r="F78" s="43">
        <v>1</v>
      </c>
      <c r="G78" s="43">
        <v>1</v>
      </c>
      <c r="H78" s="44" t="s">
        <v>136</v>
      </c>
      <c r="I78" s="41" t="s">
        <v>133</v>
      </c>
      <c r="J78" s="41"/>
      <c r="M78" s="45"/>
    </row>
    <row r="79" spans="1:14" ht="13.5" customHeight="1" x14ac:dyDescent="0.2">
      <c r="A79" s="41" t="s">
        <v>135</v>
      </c>
      <c r="B79" s="41"/>
      <c r="C79" s="41"/>
      <c r="D79" s="41"/>
      <c r="E79" s="42">
        <v>231591</v>
      </c>
      <c r="F79" s="43">
        <v>2</v>
      </c>
      <c r="G79" s="43">
        <v>1</v>
      </c>
      <c r="H79" s="44" t="s">
        <v>137</v>
      </c>
      <c r="I79" s="41" t="s">
        <v>133</v>
      </c>
      <c r="J79" s="41"/>
      <c r="M79" s="45"/>
    </row>
    <row r="80" spans="1:14" ht="13.5" customHeight="1" x14ac:dyDescent="0.2">
      <c r="A80" s="41" t="s">
        <v>138</v>
      </c>
      <c r="B80" s="41"/>
      <c r="C80" s="41"/>
      <c r="D80" s="41"/>
      <c r="E80" s="42">
        <v>231592</v>
      </c>
      <c r="F80" s="43">
        <v>1</v>
      </c>
      <c r="G80" s="43">
        <v>1</v>
      </c>
      <c r="H80" s="44" t="s">
        <v>139</v>
      </c>
      <c r="I80" s="41" t="s">
        <v>140</v>
      </c>
      <c r="J80" s="41"/>
      <c r="M80" s="45"/>
    </row>
    <row r="81" spans="1:13" ht="13.5" customHeight="1" x14ac:dyDescent="0.2">
      <c r="A81" s="41" t="s">
        <v>138</v>
      </c>
      <c r="B81" s="41"/>
      <c r="C81" s="41"/>
      <c r="D81" s="41"/>
      <c r="E81" s="42">
        <v>231592</v>
      </c>
      <c r="F81" s="43">
        <v>2</v>
      </c>
      <c r="G81" s="43">
        <v>1</v>
      </c>
      <c r="H81" s="44" t="s">
        <v>141</v>
      </c>
      <c r="I81" s="41" t="s">
        <v>140</v>
      </c>
      <c r="J81" s="41"/>
      <c r="M81" s="45"/>
    </row>
    <row r="82" spans="1:13" ht="13.5" customHeight="1" x14ac:dyDescent="0.2">
      <c r="A82" s="41" t="s">
        <v>138</v>
      </c>
      <c r="B82" s="41"/>
      <c r="C82" s="41"/>
      <c r="D82" s="41"/>
      <c r="E82" s="42">
        <v>231592</v>
      </c>
      <c r="F82" s="43">
        <v>3</v>
      </c>
      <c r="G82" s="43">
        <v>1</v>
      </c>
      <c r="H82" s="44" t="s">
        <v>142</v>
      </c>
      <c r="I82" s="41" t="s">
        <v>140</v>
      </c>
      <c r="J82" s="41"/>
      <c r="M82" s="45"/>
    </row>
    <row r="83" spans="1:13" ht="13.5" customHeight="1" x14ac:dyDescent="0.2">
      <c r="A83" s="41" t="s">
        <v>143</v>
      </c>
      <c r="B83" s="41"/>
      <c r="C83" s="41"/>
      <c r="D83" s="41"/>
      <c r="E83" s="42">
        <v>231593</v>
      </c>
      <c r="F83" s="43">
        <v>1</v>
      </c>
      <c r="G83" s="43">
        <v>1</v>
      </c>
      <c r="H83" s="44" t="s">
        <v>144</v>
      </c>
      <c r="I83" s="41" t="s">
        <v>140</v>
      </c>
      <c r="J83" s="41"/>
      <c r="M83" s="45"/>
    </row>
    <row r="84" spans="1:13" ht="13.5" customHeight="1" x14ac:dyDescent="0.2">
      <c r="A84" s="41" t="s">
        <v>143</v>
      </c>
      <c r="B84" s="41"/>
      <c r="C84" s="41"/>
      <c r="D84" s="41"/>
      <c r="E84" s="42">
        <v>231593</v>
      </c>
      <c r="F84" s="43">
        <v>2</v>
      </c>
      <c r="G84" s="43">
        <v>1</v>
      </c>
      <c r="H84" s="44" t="s">
        <v>46</v>
      </c>
      <c r="I84" s="41" t="s">
        <v>140</v>
      </c>
      <c r="J84" s="41"/>
      <c r="M84" s="45"/>
    </row>
    <row r="85" spans="1:13" ht="13.5" customHeight="1" x14ac:dyDescent="0.2">
      <c r="A85" s="41" t="s">
        <v>145</v>
      </c>
      <c r="B85" s="41"/>
      <c r="C85" s="41"/>
      <c r="D85" s="41"/>
      <c r="E85" s="42">
        <v>231594</v>
      </c>
      <c r="F85" s="43">
        <v>1</v>
      </c>
      <c r="G85" s="43">
        <v>1</v>
      </c>
      <c r="H85" s="44" t="s">
        <v>146</v>
      </c>
      <c r="I85" s="41" t="s">
        <v>147</v>
      </c>
      <c r="J85" s="41"/>
      <c r="M85" s="45"/>
    </row>
    <row r="86" spans="1:13" ht="13.5" customHeight="1" x14ac:dyDescent="0.2">
      <c r="A86" s="41" t="s">
        <v>145</v>
      </c>
      <c r="B86" s="41"/>
      <c r="C86" s="41"/>
      <c r="D86" s="41"/>
      <c r="E86" s="42">
        <v>231594</v>
      </c>
      <c r="F86" s="43">
        <v>2</v>
      </c>
      <c r="G86" s="43">
        <v>1</v>
      </c>
      <c r="H86" s="44" t="s">
        <v>148</v>
      </c>
      <c r="I86" s="41" t="s">
        <v>147</v>
      </c>
      <c r="J86" s="41"/>
      <c r="M86" s="45"/>
    </row>
    <row r="87" spans="1:13" ht="13.5" customHeight="1" x14ac:dyDescent="0.2">
      <c r="A87" s="41" t="s">
        <v>149</v>
      </c>
      <c r="B87" s="41"/>
      <c r="C87" s="41"/>
      <c r="D87" s="41"/>
      <c r="E87" s="42">
        <v>231595</v>
      </c>
      <c r="F87" s="43">
        <v>1</v>
      </c>
      <c r="G87" s="43">
        <v>1</v>
      </c>
      <c r="H87" s="44" t="s">
        <v>150</v>
      </c>
      <c r="I87" s="41" t="s">
        <v>147</v>
      </c>
      <c r="J87" s="41"/>
      <c r="M87" s="45"/>
    </row>
    <row r="88" spans="1:13" ht="13.5" customHeight="1" x14ac:dyDescent="0.2">
      <c r="A88" s="41" t="s">
        <v>149</v>
      </c>
      <c r="B88" s="41"/>
      <c r="C88" s="41"/>
      <c r="D88" s="41"/>
      <c r="E88" s="42">
        <v>231595</v>
      </c>
      <c r="F88" s="43">
        <v>2</v>
      </c>
      <c r="G88" s="43">
        <v>1</v>
      </c>
      <c r="H88" s="44" t="s">
        <v>128</v>
      </c>
      <c r="I88" s="41" t="s">
        <v>147</v>
      </c>
      <c r="J88" s="41"/>
      <c r="M88" s="45"/>
    </row>
    <row r="89" spans="1:13" ht="13.5" customHeight="1" x14ac:dyDescent="0.2">
      <c r="A89" s="41" t="s">
        <v>151</v>
      </c>
      <c r="B89" s="41"/>
      <c r="C89" s="41"/>
      <c r="D89" s="41"/>
      <c r="E89" s="42">
        <v>231596</v>
      </c>
      <c r="F89" s="43">
        <v>1</v>
      </c>
      <c r="G89" s="43">
        <v>1</v>
      </c>
      <c r="H89" s="44" t="s">
        <v>46</v>
      </c>
      <c r="I89" s="41" t="s">
        <v>68</v>
      </c>
      <c r="J89" s="41"/>
      <c r="M89" s="45"/>
    </row>
    <row r="90" spans="1:13" ht="13.5" customHeight="1" x14ac:dyDescent="0.2">
      <c r="A90" s="41" t="s">
        <v>151</v>
      </c>
      <c r="B90" s="41"/>
      <c r="C90" s="41"/>
      <c r="D90" s="41"/>
      <c r="E90" s="42">
        <v>231596</v>
      </c>
      <c r="F90" s="43">
        <v>2</v>
      </c>
      <c r="G90" s="43">
        <v>1</v>
      </c>
      <c r="H90" s="44" t="s">
        <v>152</v>
      </c>
      <c r="I90" s="41" t="s">
        <v>68</v>
      </c>
      <c r="J90" s="41"/>
      <c r="M90" s="45"/>
    </row>
    <row r="91" spans="1:13" ht="13.5" customHeight="1" x14ac:dyDescent="0.2">
      <c r="A91" s="41" t="s">
        <v>151</v>
      </c>
      <c r="B91" s="41"/>
      <c r="C91" s="41"/>
      <c r="D91" s="41"/>
      <c r="E91" s="42">
        <v>231596</v>
      </c>
      <c r="F91" s="43">
        <v>3</v>
      </c>
      <c r="G91" s="43">
        <v>1</v>
      </c>
      <c r="H91" s="44" t="s">
        <v>153</v>
      </c>
      <c r="I91" s="41" t="s">
        <v>68</v>
      </c>
      <c r="J91" s="41"/>
      <c r="M91" s="45"/>
    </row>
    <row r="92" spans="1:13" ht="13.5" customHeight="1" x14ac:dyDescent="0.2">
      <c r="A92" s="41" t="s">
        <v>66</v>
      </c>
      <c r="B92" s="41"/>
      <c r="C92" s="41"/>
      <c r="D92" s="41"/>
      <c r="E92" s="42">
        <v>231597</v>
      </c>
      <c r="F92" s="43">
        <v>1</v>
      </c>
      <c r="G92" s="43">
        <v>1</v>
      </c>
      <c r="H92" s="44" t="s">
        <v>154</v>
      </c>
      <c r="I92" s="41" t="s">
        <v>68</v>
      </c>
      <c r="J92" s="41"/>
      <c r="M92" s="45"/>
    </row>
    <row r="93" spans="1:13" ht="13.5" customHeight="1" x14ac:dyDescent="0.2">
      <c r="A93" s="41" t="s">
        <v>66</v>
      </c>
      <c r="B93" s="41"/>
      <c r="C93" s="41"/>
      <c r="D93" s="41"/>
      <c r="E93" s="42">
        <v>231597</v>
      </c>
      <c r="F93" s="43">
        <v>2</v>
      </c>
      <c r="G93" s="43">
        <v>1</v>
      </c>
      <c r="H93" s="44" t="s">
        <v>128</v>
      </c>
      <c r="I93" s="41" t="s">
        <v>68</v>
      </c>
      <c r="J93" s="41"/>
      <c r="M93" s="45"/>
    </row>
    <row r="94" spans="1:13" ht="13.5" customHeight="1" x14ac:dyDescent="0.2">
      <c r="A94" s="41" t="s">
        <v>155</v>
      </c>
      <c r="B94" s="41"/>
      <c r="C94" s="41"/>
      <c r="D94" s="41"/>
      <c r="E94" s="42">
        <v>231742</v>
      </c>
      <c r="F94" s="43">
        <v>2</v>
      </c>
      <c r="G94" s="43">
        <v>1</v>
      </c>
      <c r="H94" s="44" t="s">
        <v>156</v>
      </c>
      <c r="I94" s="41" t="s">
        <v>157</v>
      </c>
      <c r="J94" s="41"/>
      <c r="M94" s="45"/>
    </row>
    <row r="95" spans="1:13" ht="13.5" customHeight="1" x14ac:dyDescent="0.2">
      <c r="A95" s="41" t="s">
        <v>158</v>
      </c>
      <c r="B95" s="41"/>
      <c r="C95" s="41"/>
      <c r="D95" s="41"/>
      <c r="E95" s="42">
        <v>231743</v>
      </c>
      <c r="F95" s="43">
        <v>2</v>
      </c>
      <c r="G95" s="43">
        <v>1</v>
      </c>
      <c r="H95" s="44" t="s">
        <v>159</v>
      </c>
      <c r="I95" s="41" t="s">
        <v>160</v>
      </c>
      <c r="J95" s="41"/>
      <c r="M95" s="45"/>
    </row>
    <row r="96" spans="1:13" ht="13.5" customHeight="1" x14ac:dyDescent="0.2">
      <c r="A96" s="61" t="s">
        <v>158</v>
      </c>
      <c r="B96" s="61"/>
      <c r="C96" s="61"/>
      <c r="D96" s="61"/>
      <c r="E96" s="42">
        <v>231743</v>
      </c>
      <c r="F96" s="43">
        <v>3</v>
      </c>
      <c r="G96" s="43">
        <v>1</v>
      </c>
      <c r="H96" s="44" t="s">
        <v>161</v>
      </c>
      <c r="I96" s="61" t="s">
        <v>160</v>
      </c>
      <c r="J96" s="61"/>
      <c r="M96" s="45"/>
    </row>
    <row r="97" spans="1:14" ht="13.5" customHeight="1" x14ac:dyDescent="0.2">
      <c r="A97" s="62" t="s">
        <v>155</v>
      </c>
      <c r="B97" s="63"/>
      <c r="C97" s="63"/>
      <c r="D97" s="64"/>
      <c r="E97" s="56">
        <v>231742</v>
      </c>
      <c r="F97" s="57">
        <v>2</v>
      </c>
      <c r="G97" s="57">
        <v>1</v>
      </c>
      <c r="H97" s="58" t="s">
        <v>156</v>
      </c>
      <c r="I97" s="65" t="s">
        <v>157</v>
      </c>
      <c r="J97" s="64"/>
      <c r="K97" s="59"/>
      <c r="L97" s="60" t="s">
        <v>54</v>
      </c>
      <c r="M97" s="45"/>
      <c r="N97" s="55"/>
    </row>
    <row r="98" spans="1:14" ht="12" customHeight="1" x14ac:dyDescent="0.2"/>
    <row r="99" spans="1:14" ht="12.95" customHeight="1" x14ac:dyDescent="0.2"/>
    <row r="100" spans="1:14" ht="15" customHeight="1" x14ac:dyDescent="0.2">
      <c r="J100" s="46"/>
      <c r="K100" s="47"/>
      <c r="L100" s="47"/>
      <c r="M100" s="47"/>
      <c r="N100" s="47"/>
    </row>
  </sheetData>
  <sheetProtection sheet="1" objects="1" scenarios="1" selectLockedCells="1"/>
  <mergeCells count="192">
    <mergeCell ref="A96:D96"/>
    <mergeCell ref="I96:J96"/>
    <mergeCell ref="A97:D97"/>
    <mergeCell ref="I97:J97"/>
    <mergeCell ref="A93:D93"/>
    <mergeCell ref="I93:J93"/>
    <mergeCell ref="A94:D94"/>
    <mergeCell ref="I94:J94"/>
    <mergeCell ref="A95:D95"/>
    <mergeCell ref="I95:J95"/>
    <mergeCell ref="A90:D90"/>
    <mergeCell ref="I90:J90"/>
    <mergeCell ref="A91:D91"/>
    <mergeCell ref="I91:J91"/>
    <mergeCell ref="A92:D92"/>
    <mergeCell ref="I92:J92"/>
    <mergeCell ref="A87:D87"/>
    <mergeCell ref="I87:J87"/>
    <mergeCell ref="A88:D88"/>
    <mergeCell ref="I88:J88"/>
    <mergeCell ref="A89:D89"/>
    <mergeCell ref="I89:J89"/>
    <mergeCell ref="A84:D84"/>
    <mergeCell ref="I84:J84"/>
    <mergeCell ref="A85:D85"/>
    <mergeCell ref="I85:J85"/>
    <mergeCell ref="A86:D86"/>
    <mergeCell ref="I86:J86"/>
    <mergeCell ref="A81:D81"/>
    <mergeCell ref="I81:J81"/>
    <mergeCell ref="A82:D82"/>
    <mergeCell ref="I82:J82"/>
    <mergeCell ref="A83:D83"/>
    <mergeCell ref="I83:J83"/>
    <mergeCell ref="A78:D78"/>
    <mergeCell ref="I78:J78"/>
    <mergeCell ref="A79:D79"/>
    <mergeCell ref="I79:J79"/>
    <mergeCell ref="A80:D80"/>
    <mergeCell ref="I80:J80"/>
    <mergeCell ref="A75:D75"/>
    <mergeCell ref="I75:J75"/>
    <mergeCell ref="A76:D76"/>
    <mergeCell ref="I76:J76"/>
    <mergeCell ref="A77:D77"/>
    <mergeCell ref="I77:J77"/>
    <mergeCell ref="A72:D72"/>
    <mergeCell ref="I72:J72"/>
    <mergeCell ref="A73:D73"/>
    <mergeCell ref="I73:J73"/>
    <mergeCell ref="A74:D74"/>
    <mergeCell ref="I74:J74"/>
    <mergeCell ref="A69:D69"/>
    <mergeCell ref="I69:J69"/>
    <mergeCell ref="A70:D70"/>
    <mergeCell ref="I70:J70"/>
    <mergeCell ref="A71:D71"/>
    <mergeCell ref="I71:J71"/>
    <mergeCell ref="A66:D66"/>
    <mergeCell ref="I66:J66"/>
    <mergeCell ref="A67:D67"/>
    <mergeCell ref="I67:J67"/>
    <mergeCell ref="A68:D68"/>
    <mergeCell ref="I68:J68"/>
    <mergeCell ref="A63:D63"/>
    <mergeCell ref="I63:J63"/>
    <mergeCell ref="A64:D64"/>
    <mergeCell ref="I64:J64"/>
    <mergeCell ref="A65:D65"/>
    <mergeCell ref="I65:J65"/>
    <mergeCell ref="A60:D60"/>
    <mergeCell ref="I60:J60"/>
    <mergeCell ref="A61:D61"/>
    <mergeCell ref="I61:J61"/>
    <mergeCell ref="A62:D62"/>
    <mergeCell ref="I62:J62"/>
    <mergeCell ref="A57:D57"/>
    <mergeCell ref="I57:J57"/>
    <mergeCell ref="A58:D58"/>
    <mergeCell ref="I58:J58"/>
    <mergeCell ref="A59:D59"/>
    <mergeCell ref="I59:J59"/>
    <mergeCell ref="A54:D54"/>
    <mergeCell ref="I54:J54"/>
    <mergeCell ref="A55:D55"/>
    <mergeCell ref="I55:J55"/>
    <mergeCell ref="A56:D56"/>
    <mergeCell ref="I56:J56"/>
    <mergeCell ref="A51:D51"/>
    <mergeCell ref="I51:J51"/>
    <mergeCell ref="A52:D52"/>
    <mergeCell ref="I52:J52"/>
    <mergeCell ref="A53:D53"/>
    <mergeCell ref="I53:J53"/>
    <mergeCell ref="A48:D48"/>
    <mergeCell ref="I48:J48"/>
    <mergeCell ref="A49:D49"/>
    <mergeCell ref="I49:J49"/>
    <mergeCell ref="A50:D50"/>
    <mergeCell ref="I50:J50"/>
    <mergeCell ref="A45:D45"/>
    <mergeCell ref="I45:J45"/>
    <mergeCell ref="A46:D46"/>
    <mergeCell ref="I46:J46"/>
    <mergeCell ref="A47:D47"/>
    <mergeCell ref="I47:J47"/>
    <mergeCell ref="A42:D42"/>
    <mergeCell ref="I42:J42"/>
    <mergeCell ref="A43:D43"/>
    <mergeCell ref="I43:J43"/>
    <mergeCell ref="A44:D44"/>
    <mergeCell ref="I44:J44"/>
    <mergeCell ref="A39:D39"/>
    <mergeCell ref="I39:J39"/>
    <mergeCell ref="A40:D40"/>
    <mergeCell ref="I40:J40"/>
    <mergeCell ref="A41:D41"/>
    <mergeCell ref="I41:J41"/>
    <mergeCell ref="A36:D36"/>
    <mergeCell ref="I36:J36"/>
    <mergeCell ref="A37:D37"/>
    <mergeCell ref="I37:J37"/>
    <mergeCell ref="A38:D38"/>
    <mergeCell ref="I38:J38"/>
    <mergeCell ref="A33:D33"/>
    <mergeCell ref="I33:J33"/>
    <mergeCell ref="A34:D34"/>
    <mergeCell ref="I34:J34"/>
    <mergeCell ref="A35:D35"/>
    <mergeCell ref="I35:J35"/>
    <mergeCell ref="A30:D30"/>
    <mergeCell ref="I30:J30"/>
    <mergeCell ref="A31:D31"/>
    <mergeCell ref="I31:J31"/>
    <mergeCell ref="A32:D32"/>
    <mergeCell ref="I32:J32"/>
    <mergeCell ref="A27:D27"/>
    <mergeCell ref="I27:J27"/>
    <mergeCell ref="A28:D28"/>
    <mergeCell ref="I28:J28"/>
    <mergeCell ref="A29:D29"/>
    <mergeCell ref="I29:J29"/>
    <mergeCell ref="A24:D24"/>
    <mergeCell ref="I24:J24"/>
    <mergeCell ref="A25:D25"/>
    <mergeCell ref="I25:J25"/>
    <mergeCell ref="A26:D26"/>
    <mergeCell ref="I26:J26"/>
    <mergeCell ref="A21:D21"/>
    <mergeCell ref="I21:J21"/>
    <mergeCell ref="A22:D22"/>
    <mergeCell ref="I22:J22"/>
    <mergeCell ref="A23:D23"/>
    <mergeCell ref="I23:J23"/>
    <mergeCell ref="A18:D18"/>
    <mergeCell ref="I18:J18"/>
    <mergeCell ref="A19:D19"/>
    <mergeCell ref="I19:J19"/>
    <mergeCell ref="A20:D20"/>
    <mergeCell ref="I20:J20"/>
    <mergeCell ref="A15:D15"/>
    <mergeCell ref="I15:J15"/>
    <mergeCell ref="A16:D16"/>
    <mergeCell ref="I16:J16"/>
    <mergeCell ref="A17:D17"/>
    <mergeCell ref="I17:J17"/>
    <mergeCell ref="A12:D12"/>
    <mergeCell ref="I12:J12"/>
    <mergeCell ref="A13:D13"/>
    <mergeCell ref="I13:J13"/>
    <mergeCell ref="A14:D14"/>
    <mergeCell ref="I14:J14"/>
    <mergeCell ref="A9:D9"/>
    <mergeCell ref="I9:J9"/>
    <mergeCell ref="A10:D10"/>
    <mergeCell ref="I10:J10"/>
    <mergeCell ref="A11:D11"/>
    <mergeCell ref="I11:J11"/>
    <mergeCell ref="A5:D5"/>
    <mergeCell ref="I5:J5"/>
    <mergeCell ref="A7:D7"/>
    <mergeCell ref="I7:J7"/>
    <mergeCell ref="A8:D8"/>
    <mergeCell ref="I8:J8"/>
    <mergeCell ref="D2:H2"/>
    <mergeCell ref="I2:L2"/>
    <mergeCell ref="O2:W2"/>
    <mergeCell ref="X2:AG2"/>
    <mergeCell ref="AO2:AV2"/>
    <mergeCell ref="O3:W3"/>
    <mergeCell ref="X3:AG3"/>
    <mergeCell ref="AO3:AV3"/>
  </mergeCells>
  <pageMargins left="0.195833333333333" right="0.195833333333333" top="0.195833333333333" bottom="0.195833333333333" header="0" footer="0"/>
  <pageSetup paperSize="0" scale="0" fitToWidth="0" fitToHeight="0" orientation="portrait" horizontalDpi="0" verticalDpi="0" copie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2D6140-0193-45E8-B969-FF37FD911419}">
  <sheetPr codeName="Sheet4">
    <outlinePr summaryBelow="0" summaryRight="0"/>
    <pageSetUpPr autoPageBreaks="0"/>
  </sheetPr>
  <dimension ref="A1:AV100"/>
  <sheetViews>
    <sheetView workbookViewId="0">
      <pane ySplit="5" topLeftCell="A6" activePane="bottomLeft" state="frozenSplit"/>
      <selection pane="bottomLeft" activeCell="O6" sqref="O6"/>
    </sheetView>
  </sheetViews>
  <sheetFormatPr defaultColWidth="6.85546875" defaultRowHeight="12.75" customHeight="1" x14ac:dyDescent="0.2"/>
  <cols>
    <col min="1" max="1" width="19" style="21" customWidth="1"/>
    <col min="2" max="2" width="1.5703125" style="21" customWidth="1"/>
    <col min="3" max="3" width="4.5703125" style="21" customWidth="1"/>
    <col min="4" max="4" width="3.42578125" style="21" customWidth="1"/>
    <col min="5" max="5" width="10.7109375" style="21" customWidth="1"/>
    <col min="6" max="6" width="8.140625" style="21" bestFit="1" customWidth="1"/>
    <col min="7" max="7" width="6.7109375" style="21" customWidth="1"/>
    <col min="8" max="8" width="14.7109375" style="21" customWidth="1"/>
    <col min="9" max="9" width="16.7109375" style="21" customWidth="1"/>
    <col min="10" max="10" width="18.28515625" style="21" customWidth="1"/>
    <col min="11" max="11" width="6.7109375" style="21" customWidth="1"/>
    <col min="12" max="12" width="3.7109375" style="21" customWidth="1"/>
    <col min="13" max="13" width="13.7109375" style="21" customWidth="1"/>
    <col min="14" max="14" width="1.7109375" style="21" customWidth="1"/>
    <col min="15" max="15" width="18.7109375" style="25" customWidth="1"/>
    <col min="16" max="16" width="20.7109375" style="26" customWidth="1"/>
    <col min="17" max="17" width="12.7109375" style="26" customWidth="1"/>
    <col min="18" max="18" width="10.7109375" style="26" customWidth="1"/>
    <col min="19" max="19" width="16.7109375" style="26" customWidth="1"/>
    <col min="20" max="20" width="25.7109375" style="27" customWidth="1"/>
    <col min="21" max="22" width="15.7109375" style="26" customWidth="1"/>
    <col min="23" max="23" width="20.7109375" style="26" customWidth="1"/>
    <col min="24" max="24" width="18.7109375" style="25" hidden="1" customWidth="1"/>
    <col min="25" max="25" width="20.7109375" style="26" hidden="1" customWidth="1"/>
    <col min="26" max="26" width="12.7109375" style="26" hidden="1" customWidth="1"/>
    <col min="27" max="27" width="10.7109375" style="26" hidden="1" customWidth="1"/>
    <col min="28" max="28" width="16.7109375" style="26" hidden="1" customWidth="1"/>
    <col min="29" max="29" width="25.7109375" style="27" hidden="1" customWidth="1"/>
    <col min="30" max="30" width="15.7109375" style="26" hidden="1" customWidth="1"/>
    <col min="31" max="31" width="0.140625" style="26" hidden="1" customWidth="1"/>
    <col min="32" max="32" width="20.7109375" style="26" hidden="1" customWidth="1"/>
    <col min="33" max="33" width="15.7109375" style="26" hidden="1" customWidth="1"/>
    <col min="34" max="40" width="6.85546875" style="20" hidden="1" customWidth="1"/>
    <col min="41" max="41" width="18.7109375" style="25" hidden="1" customWidth="1"/>
    <col min="42" max="42" width="20.7109375" style="26" hidden="1" customWidth="1"/>
    <col min="43" max="43" width="12.7109375" style="26" hidden="1" customWidth="1"/>
    <col min="44" max="44" width="10.7109375" style="26" hidden="1" customWidth="1"/>
    <col min="45" max="45" width="16.7109375" style="26" hidden="1" customWidth="1"/>
    <col min="46" max="46" width="25.7109375" style="26" hidden="1" customWidth="1"/>
    <col min="47" max="47" width="15.7109375" style="26" hidden="1" customWidth="1"/>
    <col min="48" max="48" width="20.7109375" style="26" hidden="1" customWidth="1"/>
    <col min="49" max="16384" width="6.85546875" style="20" customWidth="1"/>
  </cols>
  <sheetData>
    <row r="1" spans="1:48" s="21" customFormat="1" ht="6.75" customHeight="1" x14ac:dyDescent="0.2">
      <c r="O1" s="48"/>
      <c r="P1" s="49"/>
      <c r="Q1" s="49"/>
      <c r="R1" s="49"/>
      <c r="S1" s="49"/>
      <c r="T1" s="50"/>
      <c r="U1" s="49"/>
      <c r="V1" s="49"/>
      <c r="W1" s="49"/>
      <c r="X1" s="48"/>
      <c r="Y1" s="49"/>
      <c r="Z1" s="49"/>
      <c r="AA1" s="49"/>
      <c r="AB1" s="49"/>
      <c r="AC1" s="50"/>
      <c r="AD1" s="49"/>
      <c r="AE1" s="49"/>
      <c r="AF1" s="49"/>
      <c r="AG1" s="49"/>
      <c r="AO1" s="48"/>
      <c r="AP1" s="49"/>
      <c r="AQ1" s="49"/>
      <c r="AR1" s="49"/>
      <c r="AS1" s="49"/>
      <c r="AT1" s="49"/>
      <c r="AU1" s="49"/>
      <c r="AV1" s="49"/>
    </row>
    <row r="2" spans="1:48" s="21" customFormat="1" ht="24" customHeight="1" x14ac:dyDescent="0.2">
      <c r="D2" s="32" t="s">
        <v>0</v>
      </c>
      <c r="E2" s="32"/>
      <c r="F2" s="32"/>
      <c r="G2" s="32"/>
      <c r="H2" s="32"/>
      <c r="I2" s="33" t="s">
        <v>65</v>
      </c>
      <c r="J2" s="33"/>
      <c r="K2" s="33"/>
      <c r="L2" s="33"/>
      <c r="O2" s="70" t="str">
        <f ca="1">"Outbound: "&amp;SUMPRODUCT(SUBTOTAL(103,OFFSET($E$6,ROW($E$6:$E$97)-ROW($E$6),0,1)),--($U$6:$U$97="OK"),--($E$6:$E$97&lt;&gt;""))&amp;"/"&amp;SUMPRODUCT(SUBTOTAL(103,OFFSET($E$6,ROW($E$6:$E$97)-ROW($E$6),0,1)),--($E$6:$E$97&lt;&gt;""))&amp;" • "&amp;TEXT(IFERROR(SUMPRODUCT(SUBTOTAL(103,OFFSET($E$6,ROW($E$6:$E$97)-ROW($E$6),0,1)),--((($V$6:$V$97="On-Time")+($V$6:$V$97="Early"))&gt;0),--($E$6:$E$97&lt;&gt;""))/SUMPRODUCT(SUBTOTAL(103,OFFSET($E$6,ROW($E$6:$E$97)-ROW($E$6),0,1)),--($E$6:$E$97&lt;&gt;"")),0),"0.0%")&amp;" On Time"</f>
        <v>Outbound: 0/88 • 0.0% On Time</v>
      </c>
      <c r="P2" s="70"/>
      <c r="Q2" s="70"/>
      <c r="R2" s="70"/>
      <c r="S2" s="70"/>
      <c r="T2" s="70"/>
      <c r="U2" s="70"/>
      <c r="V2" s="70"/>
      <c r="W2" s="70"/>
      <c r="X2" s="71" t="str">
        <f ca="1">"Inbound: "&amp;SUMPRODUCT(SUBTOTAL(103,OFFSET($E$6,ROW($E$6:$E$97)-ROW($E$6),0,1)),--($AD$6:$AD$97="Received"),--($E$6:$E$97&lt;&gt;""))&amp;"/"&amp;SUMPRODUCT(SUBTOTAL(103,OFFSET($E$6,ROW($E$6:$E$97)-ROW($E$6),0,1)),--($E$6:$E$97&lt;&gt;""))&amp;" • "&amp;TEXT(IFERROR(SUMPRODUCT(SUBTOTAL(103,OFFSET($E$6,ROW($E$6:$E$97)-ROW($E$6),0,1)),--($AD$6:$AD$97="Received"),--($E$6:$E$97&lt;&gt;""))/SUMPRODUCT(SUBTOTAL(103,OFFSET($E$6,ROW($E$6:$E$97)-ROW($E$6),0,1)),--($E$6:$E$97&lt;&gt;"")),0),"0.0%")&amp;" Complete"</f>
        <v>Inbound: 0/88 • 0.0% Complete</v>
      </c>
      <c r="Y2" s="71"/>
      <c r="Z2" s="71"/>
      <c r="AA2" s="71"/>
      <c r="AB2" s="71"/>
      <c r="AC2" s="71"/>
      <c r="AD2" s="71"/>
      <c r="AE2" s="71"/>
      <c r="AF2" s="71"/>
      <c r="AG2" s="71"/>
      <c r="AO2" s="72" t="str">
        <f ca="1">"Staged: "&amp;SUMPRODUCT(SUBTOTAL(103,OFFSET($E$6,ROW($E$6:$E$97)-ROW($E$6),0,1)),--($AU$6:$AU$97="OK"),--($E$6:$E$97&lt;&gt;""))&amp;"/"&amp;SUMPRODUCT(SUBTOTAL(103,OFFSET($E$6,ROW($E$6:$E$97)-ROW($E$6),0,1)),--($E$6:$E$97&lt;&gt;""))&amp;" • "&amp;TEXT(IFERROR(SUMPRODUCT(SUBTOTAL(103,OFFSET($E$6,ROW($E$6:$E$97)-ROW($E$6),0,1)),--($AU$6:$AU$97="OK"),--($E$6:$E$97&lt;&gt;""))/SUMPRODUCT(SUBTOTAL(103,OFFSET($E$6,ROW($E$6:$E$97)-ROW($E$6),0,1)),--($E$6:$E$97&lt;&gt;"")),0),"0.0%")&amp;" Complete"</f>
        <v>Staged: 0/88 • 0.0% Complete</v>
      </c>
      <c r="AP2" s="72"/>
      <c r="AQ2" s="72"/>
      <c r="AR2" s="72"/>
      <c r="AS2" s="72"/>
      <c r="AT2" s="72"/>
      <c r="AU2" s="72"/>
      <c r="AV2" s="72"/>
    </row>
    <row r="3" spans="1:48" ht="54.95" customHeight="1" x14ac:dyDescent="0.2">
      <c r="O3" s="73" t="s">
        <v>26</v>
      </c>
      <c r="P3" s="74"/>
      <c r="Q3" s="74"/>
      <c r="R3" s="74"/>
      <c r="S3" s="74"/>
      <c r="T3" s="74"/>
      <c r="U3" s="74"/>
      <c r="V3" s="74"/>
      <c r="W3" s="74"/>
      <c r="X3" s="73" t="s">
        <v>28</v>
      </c>
      <c r="Y3" s="74"/>
      <c r="Z3" s="74"/>
      <c r="AA3" s="74"/>
      <c r="AB3" s="74"/>
      <c r="AC3" s="74"/>
      <c r="AD3" s="74"/>
      <c r="AE3" s="74"/>
      <c r="AF3" s="74"/>
      <c r="AG3" s="74"/>
      <c r="AO3" s="73" t="s">
        <v>27</v>
      </c>
      <c r="AP3" s="74"/>
      <c r="AQ3" s="74"/>
      <c r="AR3" s="74"/>
      <c r="AS3" s="74"/>
      <c r="AT3" s="74"/>
      <c r="AU3" s="74"/>
      <c r="AV3" s="74"/>
    </row>
    <row r="4" spans="1:48" ht="20.100000000000001" customHeight="1" x14ac:dyDescent="0.2">
      <c r="O4" s="28" t="s">
        <v>9</v>
      </c>
      <c r="P4" s="29"/>
      <c r="X4" s="28" t="s">
        <v>9</v>
      </c>
      <c r="Y4" s="29"/>
      <c r="AO4" s="28" t="s">
        <v>9</v>
      </c>
      <c r="AP4" s="29"/>
      <c r="AT4" s="27"/>
    </row>
    <row r="5" spans="1:48" ht="15" customHeight="1" x14ac:dyDescent="0.2">
      <c r="A5" s="34" t="s">
        <v>1</v>
      </c>
      <c r="B5" s="34"/>
      <c r="C5" s="34"/>
      <c r="D5" s="34"/>
      <c r="E5" s="35" t="s">
        <v>2</v>
      </c>
      <c r="F5" s="36" t="s">
        <v>3</v>
      </c>
      <c r="G5" s="36" t="s">
        <v>4</v>
      </c>
      <c r="H5" s="35" t="s">
        <v>5</v>
      </c>
      <c r="I5" s="34" t="s">
        <v>6</v>
      </c>
      <c r="J5" s="34"/>
      <c r="K5" s="37" t="s">
        <v>34</v>
      </c>
      <c r="L5" s="38" t="s">
        <v>54</v>
      </c>
      <c r="M5" s="38" t="s">
        <v>52</v>
      </c>
      <c r="P5" s="30" t="s">
        <v>10</v>
      </c>
      <c r="Q5" s="30" t="s">
        <v>2</v>
      </c>
      <c r="R5" s="30" t="s">
        <v>3</v>
      </c>
      <c r="S5" s="30" t="s">
        <v>11</v>
      </c>
      <c r="T5" s="31" t="s">
        <v>12</v>
      </c>
      <c r="U5" s="30" t="s">
        <v>13</v>
      </c>
      <c r="V5" s="30" t="s">
        <v>14</v>
      </c>
      <c r="W5" s="30" t="s">
        <v>15</v>
      </c>
      <c r="Y5" s="30" t="s">
        <v>10</v>
      </c>
      <c r="Z5" s="30" t="s">
        <v>2</v>
      </c>
      <c r="AA5" s="30" t="s">
        <v>3</v>
      </c>
      <c r="AB5" s="30" t="s">
        <v>11</v>
      </c>
      <c r="AC5" s="31" t="s">
        <v>64</v>
      </c>
      <c r="AD5" s="30" t="s">
        <v>13</v>
      </c>
      <c r="AE5" s="30"/>
      <c r="AF5" s="30" t="s">
        <v>15</v>
      </c>
      <c r="AG5" s="30" t="s">
        <v>16</v>
      </c>
      <c r="AP5" s="30" t="s">
        <v>10</v>
      </c>
      <c r="AQ5" s="30" t="s">
        <v>2</v>
      </c>
      <c r="AR5" s="30" t="s">
        <v>3</v>
      </c>
      <c r="AS5" s="30" t="s">
        <v>11</v>
      </c>
      <c r="AT5" s="30" t="s">
        <v>12</v>
      </c>
      <c r="AU5" s="30" t="s">
        <v>13</v>
      </c>
      <c r="AV5" s="30" t="s">
        <v>15</v>
      </c>
    </row>
    <row r="6" spans="1:48" ht="8.25" customHeight="1" x14ac:dyDescent="0.2"/>
    <row r="7" spans="1:48" ht="13.5" customHeight="1" x14ac:dyDescent="0.2">
      <c r="A7" s="39" t="s">
        <v>55</v>
      </c>
      <c r="B7" s="39"/>
      <c r="C7" s="39"/>
      <c r="D7" s="39"/>
      <c r="I7" s="40"/>
      <c r="J7" s="40"/>
    </row>
    <row r="8" spans="1:48" ht="13.5" customHeight="1" x14ac:dyDescent="0.2">
      <c r="A8" s="41" t="s">
        <v>66</v>
      </c>
      <c r="B8" s="41"/>
      <c r="C8" s="41"/>
      <c r="D8" s="41"/>
      <c r="E8" s="42">
        <v>231597</v>
      </c>
      <c r="F8" s="43">
        <v>3</v>
      </c>
      <c r="G8" s="43">
        <v>1</v>
      </c>
      <c r="H8" s="44" t="s">
        <v>67</v>
      </c>
      <c r="I8" s="41" t="s">
        <v>68</v>
      </c>
      <c r="J8" s="41"/>
      <c r="M8" s="45"/>
    </row>
    <row r="9" spans="1:48" ht="13.5" customHeight="1" x14ac:dyDescent="0.2">
      <c r="A9" s="61" t="s">
        <v>69</v>
      </c>
      <c r="B9" s="61"/>
      <c r="C9" s="61"/>
      <c r="D9" s="61"/>
      <c r="E9" s="42">
        <v>231740</v>
      </c>
      <c r="F9" s="43">
        <v>1</v>
      </c>
      <c r="G9" s="43">
        <v>1</v>
      </c>
      <c r="H9" s="44" t="s">
        <v>70</v>
      </c>
      <c r="I9" s="61" t="s">
        <v>71</v>
      </c>
      <c r="J9" s="61"/>
      <c r="M9" s="45"/>
    </row>
    <row r="10" spans="1:48" ht="13.5" customHeight="1" x14ac:dyDescent="0.2">
      <c r="A10" s="62" t="s">
        <v>69</v>
      </c>
      <c r="B10" s="63"/>
      <c r="C10" s="63"/>
      <c r="D10" s="64"/>
      <c r="E10" s="56">
        <v>231740</v>
      </c>
      <c r="F10" s="57">
        <v>1</v>
      </c>
      <c r="G10" s="57">
        <v>1</v>
      </c>
      <c r="H10" s="58" t="s">
        <v>70</v>
      </c>
      <c r="I10" s="65" t="s">
        <v>71</v>
      </c>
      <c r="J10" s="64"/>
      <c r="K10" s="59"/>
      <c r="L10" s="60" t="s">
        <v>54</v>
      </c>
      <c r="M10" s="45"/>
      <c r="N10" s="55"/>
    </row>
    <row r="11" spans="1:48" ht="13.5" customHeight="1" x14ac:dyDescent="0.2">
      <c r="A11" s="66" t="s">
        <v>7</v>
      </c>
      <c r="B11" s="66"/>
      <c r="C11" s="66"/>
      <c r="D11" s="66"/>
      <c r="I11" s="67"/>
      <c r="J11" s="67"/>
    </row>
    <row r="12" spans="1:48" ht="13.5" customHeight="1" x14ac:dyDescent="0.2">
      <c r="A12" s="41" t="s">
        <v>72</v>
      </c>
      <c r="B12" s="41"/>
      <c r="C12" s="41"/>
      <c r="D12" s="41"/>
      <c r="E12" s="42">
        <v>231613</v>
      </c>
      <c r="F12" s="43">
        <v>1</v>
      </c>
      <c r="G12" s="43">
        <v>1</v>
      </c>
      <c r="H12" s="44" t="s">
        <v>62</v>
      </c>
      <c r="I12" s="41" t="s">
        <v>68</v>
      </c>
      <c r="J12" s="41"/>
      <c r="M12" s="45"/>
    </row>
    <row r="13" spans="1:48" ht="13.5" customHeight="1" x14ac:dyDescent="0.2">
      <c r="A13" s="41" t="s">
        <v>72</v>
      </c>
      <c r="B13" s="41"/>
      <c r="C13" s="41"/>
      <c r="D13" s="41"/>
      <c r="E13" s="42">
        <v>231613</v>
      </c>
      <c r="F13" s="43">
        <v>2</v>
      </c>
      <c r="G13" s="43">
        <v>1</v>
      </c>
      <c r="H13" s="44" t="s">
        <v>38</v>
      </c>
      <c r="I13" s="41" t="s">
        <v>68</v>
      </c>
      <c r="J13" s="41"/>
      <c r="M13" s="45"/>
    </row>
    <row r="14" spans="1:48" ht="13.5" customHeight="1" x14ac:dyDescent="0.2">
      <c r="A14" s="41" t="s">
        <v>72</v>
      </c>
      <c r="B14" s="41"/>
      <c r="C14" s="41"/>
      <c r="D14" s="41"/>
      <c r="E14" s="42">
        <v>231613</v>
      </c>
      <c r="F14" s="43">
        <v>3</v>
      </c>
      <c r="G14" s="43">
        <v>1</v>
      </c>
      <c r="H14" s="44" t="s">
        <v>73</v>
      </c>
      <c r="I14" s="41" t="s">
        <v>68</v>
      </c>
      <c r="J14" s="41"/>
      <c r="M14" s="45"/>
    </row>
    <row r="15" spans="1:48" ht="13.5" customHeight="1" x14ac:dyDescent="0.2">
      <c r="A15" s="41" t="s">
        <v>72</v>
      </c>
      <c r="B15" s="41"/>
      <c r="C15" s="41"/>
      <c r="D15" s="41"/>
      <c r="E15" s="42">
        <v>231613</v>
      </c>
      <c r="F15" s="43">
        <v>4</v>
      </c>
      <c r="G15" s="43">
        <v>1</v>
      </c>
      <c r="H15" s="44" t="s">
        <v>74</v>
      </c>
      <c r="I15" s="41" t="s">
        <v>68</v>
      </c>
      <c r="J15" s="41"/>
      <c r="M15" s="45"/>
    </row>
    <row r="16" spans="1:48" ht="13.5" customHeight="1" x14ac:dyDescent="0.2">
      <c r="A16" s="41" t="s">
        <v>75</v>
      </c>
      <c r="B16" s="41"/>
      <c r="C16" s="41"/>
      <c r="D16" s="41"/>
      <c r="E16" s="42">
        <v>231680</v>
      </c>
      <c r="F16" s="43">
        <v>1</v>
      </c>
      <c r="G16" s="43">
        <v>1</v>
      </c>
      <c r="H16" s="44" t="s">
        <v>40</v>
      </c>
      <c r="I16" s="41" t="s">
        <v>37</v>
      </c>
      <c r="J16" s="41"/>
      <c r="M16" s="45"/>
    </row>
    <row r="17" spans="1:13" ht="13.5" customHeight="1" x14ac:dyDescent="0.2">
      <c r="A17" s="41" t="s">
        <v>76</v>
      </c>
      <c r="B17" s="41"/>
      <c r="C17" s="41"/>
      <c r="D17" s="41"/>
      <c r="E17" s="42">
        <v>231681</v>
      </c>
      <c r="F17" s="43">
        <v>1</v>
      </c>
      <c r="G17" s="43">
        <v>1</v>
      </c>
      <c r="H17" s="44" t="s">
        <v>77</v>
      </c>
      <c r="I17" s="41" t="s">
        <v>78</v>
      </c>
      <c r="J17" s="41"/>
      <c r="M17" s="45"/>
    </row>
    <row r="18" spans="1:13" ht="13.5" customHeight="1" x14ac:dyDescent="0.2">
      <c r="A18" s="41" t="s">
        <v>76</v>
      </c>
      <c r="B18" s="41"/>
      <c r="C18" s="41"/>
      <c r="D18" s="41"/>
      <c r="E18" s="42">
        <v>231681</v>
      </c>
      <c r="F18" s="43">
        <v>2</v>
      </c>
      <c r="G18" s="43">
        <v>1</v>
      </c>
      <c r="H18" s="44" t="s">
        <v>79</v>
      </c>
      <c r="I18" s="41" t="s">
        <v>78</v>
      </c>
      <c r="J18" s="41"/>
      <c r="M18" s="45"/>
    </row>
    <row r="19" spans="1:13" ht="13.5" customHeight="1" x14ac:dyDescent="0.2">
      <c r="A19" s="41" t="s">
        <v>76</v>
      </c>
      <c r="B19" s="41"/>
      <c r="C19" s="41"/>
      <c r="D19" s="41"/>
      <c r="E19" s="42">
        <v>231681</v>
      </c>
      <c r="F19" s="43">
        <v>3</v>
      </c>
      <c r="G19" s="43">
        <v>1</v>
      </c>
      <c r="H19" s="44" t="s">
        <v>77</v>
      </c>
      <c r="I19" s="41" t="s">
        <v>78</v>
      </c>
      <c r="J19" s="41"/>
      <c r="M19" s="45"/>
    </row>
    <row r="20" spans="1:13" ht="13.5" customHeight="1" x14ac:dyDescent="0.2">
      <c r="A20" s="41" t="s">
        <v>80</v>
      </c>
      <c r="B20" s="41"/>
      <c r="C20" s="41"/>
      <c r="D20" s="41"/>
      <c r="E20" s="42">
        <v>231705</v>
      </c>
      <c r="F20" s="43">
        <v>1</v>
      </c>
      <c r="G20" s="43">
        <v>4</v>
      </c>
      <c r="H20" s="44" t="s">
        <v>43</v>
      </c>
      <c r="I20" s="41" t="s">
        <v>42</v>
      </c>
      <c r="J20" s="41"/>
      <c r="M20" s="45"/>
    </row>
    <row r="21" spans="1:13" ht="13.5" customHeight="1" x14ac:dyDescent="0.2">
      <c r="A21" s="41" t="s">
        <v>81</v>
      </c>
      <c r="B21" s="41"/>
      <c r="C21" s="41"/>
      <c r="D21" s="41"/>
      <c r="E21" s="42">
        <v>231706</v>
      </c>
      <c r="F21" s="43">
        <v>1</v>
      </c>
      <c r="G21" s="43">
        <v>1</v>
      </c>
      <c r="H21" s="44" t="s">
        <v>41</v>
      </c>
      <c r="I21" s="41" t="s">
        <v>42</v>
      </c>
      <c r="J21" s="41"/>
      <c r="M21" s="45"/>
    </row>
    <row r="22" spans="1:13" ht="13.5" customHeight="1" x14ac:dyDescent="0.2">
      <c r="A22" s="41" t="s">
        <v>81</v>
      </c>
      <c r="B22" s="41"/>
      <c r="C22" s="41"/>
      <c r="D22" s="41"/>
      <c r="E22" s="42">
        <v>231706</v>
      </c>
      <c r="F22" s="43">
        <v>2</v>
      </c>
      <c r="G22" s="43">
        <v>2</v>
      </c>
      <c r="H22" s="44" t="s">
        <v>43</v>
      </c>
      <c r="I22" s="41" t="s">
        <v>42</v>
      </c>
      <c r="J22" s="41"/>
      <c r="M22" s="45"/>
    </row>
    <row r="23" spans="1:13" ht="13.5" customHeight="1" x14ac:dyDescent="0.2">
      <c r="A23" s="41" t="s">
        <v>82</v>
      </c>
      <c r="B23" s="41"/>
      <c r="C23" s="41"/>
      <c r="D23" s="41"/>
      <c r="E23" s="42">
        <v>231708</v>
      </c>
      <c r="F23" s="43">
        <v>1</v>
      </c>
      <c r="G23" s="43">
        <v>1</v>
      </c>
      <c r="H23" s="44" t="s">
        <v>83</v>
      </c>
      <c r="I23" s="41" t="s">
        <v>60</v>
      </c>
      <c r="J23" s="41"/>
      <c r="M23" s="45"/>
    </row>
    <row r="24" spans="1:13" ht="13.5" customHeight="1" x14ac:dyDescent="0.2">
      <c r="A24" s="41" t="s">
        <v>84</v>
      </c>
      <c r="B24" s="41"/>
      <c r="C24" s="41"/>
      <c r="D24" s="41"/>
      <c r="E24" s="42">
        <v>231709</v>
      </c>
      <c r="F24" s="43">
        <v>1</v>
      </c>
      <c r="G24" s="43">
        <v>1</v>
      </c>
      <c r="H24" s="44" t="s">
        <v>39</v>
      </c>
      <c r="I24" s="41" t="s">
        <v>60</v>
      </c>
      <c r="J24" s="41"/>
      <c r="M24" s="45"/>
    </row>
    <row r="25" spans="1:13" ht="13.5" customHeight="1" x14ac:dyDescent="0.2">
      <c r="A25" s="41" t="s">
        <v>84</v>
      </c>
      <c r="B25" s="41"/>
      <c r="C25" s="41"/>
      <c r="D25" s="41"/>
      <c r="E25" s="42">
        <v>231709</v>
      </c>
      <c r="F25" s="43">
        <v>2</v>
      </c>
      <c r="G25" s="43">
        <v>1</v>
      </c>
      <c r="H25" s="44" t="s">
        <v>85</v>
      </c>
      <c r="I25" s="41" t="s">
        <v>60</v>
      </c>
      <c r="J25" s="41"/>
      <c r="M25" s="45"/>
    </row>
    <row r="26" spans="1:13" ht="13.5" customHeight="1" x14ac:dyDescent="0.2">
      <c r="A26" s="41" t="s">
        <v>86</v>
      </c>
      <c r="B26" s="41"/>
      <c r="C26" s="41"/>
      <c r="D26" s="41"/>
      <c r="E26" s="42">
        <v>231710</v>
      </c>
      <c r="F26" s="43">
        <v>1</v>
      </c>
      <c r="G26" s="43">
        <v>2</v>
      </c>
      <c r="H26" s="44" t="s">
        <v>41</v>
      </c>
      <c r="I26" s="41" t="s">
        <v>42</v>
      </c>
      <c r="J26" s="41"/>
      <c r="M26" s="45"/>
    </row>
    <row r="27" spans="1:13" ht="13.5" customHeight="1" x14ac:dyDescent="0.2">
      <c r="A27" s="41" t="s">
        <v>86</v>
      </c>
      <c r="B27" s="41"/>
      <c r="C27" s="41"/>
      <c r="D27" s="41"/>
      <c r="E27" s="42">
        <v>231710</v>
      </c>
      <c r="F27" s="43">
        <v>2</v>
      </c>
      <c r="G27" s="43">
        <v>4</v>
      </c>
      <c r="H27" s="44" t="s">
        <v>43</v>
      </c>
      <c r="I27" s="41" t="s">
        <v>42</v>
      </c>
      <c r="J27" s="41"/>
      <c r="M27" s="45"/>
    </row>
    <row r="28" spans="1:13" ht="13.5" customHeight="1" x14ac:dyDescent="0.2">
      <c r="A28" s="41" t="s">
        <v>87</v>
      </c>
      <c r="B28" s="41"/>
      <c r="C28" s="41"/>
      <c r="D28" s="41"/>
      <c r="E28" s="42">
        <v>231711</v>
      </c>
      <c r="F28" s="43">
        <v>1</v>
      </c>
      <c r="G28" s="43">
        <v>1</v>
      </c>
      <c r="H28" s="44" t="s">
        <v>88</v>
      </c>
      <c r="I28" s="41" t="s">
        <v>61</v>
      </c>
      <c r="J28" s="41"/>
      <c r="M28" s="45"/>
    </row>
    <row r="29" spans="1:13" ht="13.5" customHeight="1" x14ac:dyDescent="0.2">
      <c r="A29" s="41" t="s">
        <v>89</v>
      </c>
      <c r="B29" s="41"/>
      <c r="C29" s="41"/>
      <c r="D29" s="41"/>
      <c r="E29" s="42">
        <v>231712</v>
      </c>
      <c r="F29" s="43">
        <v>1</v>
      </c>
      <c r="G29" s="43">
        <v>1</v>
      </c>
      <c r="H29" s="44" t="s">
        <v>62</v>
      </c>
      <c r="I29" s="41" t="s">
        <v>60</v>
      </c>
      <c r="J29" s="41"/>
      <c r="M29" s="45"/>
    </row>
    <row r="30" spans="1:13" ht="13.5" customHeight="1" x14ac:dyDescent="0.2">
      <c r="A30" s="41" t="s">
        <v>90</v>
      </c>
      <c r="B30" s="41"/>
      <c r="C30" s="41"/>
      <c r="D30" s="41"/>
      <c r="E30" s="42">
        <v>231714</v>
      </c>
      <c r="F30" s="43">
        <v>1</v>
      </c>
      <c r="G30" s="43">
        <v>1</v>
      </c>
      <c r="H30" s="44" t="s">
        <v>91</v>
      </c>
      <c r="I30" s="41" t="s">
        <v>92</v>
      </c>
      <c r="J30" s="41"/>
      <c r="M30" s="45"/>
    </row>
    <row r="31" spans="1:13" ht="13.5" customHeight="1" x14ac:dyDescent="0.2">
      <c r="A31" s="41" t="s">
        <v>93</v>
      </c>
      <c r="B31" s="41"/>
      <c r="C31" s="41"/>
      <c r="D31" s="41"/>
      <c r="E31" s="42">
        <v>231716</v>
      </c>
      <c r="F31" s="43">
        <v>1</v>
      </c>
      <c r="G31" s="43">
        <v>1</v>
      </c>
      <c r="H31" s="44" t="s">
        <v>57</v>
      </c>
      <c r="I31" s="41" t="s">
        <v>92</v>
      </c>
      <c r="J31" s="41"/>
      <c r="M31" s="45"/>
    </row>
    <row r="32" spans="1:13" ht="13.5" customHeight="1" x14ac:dyDescent="0.2">
      <c r="A32" s="41" t="s">
        <v>93</v>
      </c>
      <c r="B32" s="41"/>
      <c r="C32" s="41"/>
      <c r="D32" s="41"/>
      <c r="E32" s="42">
        <v>231716</v>
      </c>
      <c r="F32" s="43">
        <v>2</v>
      </c>
      <c r="G32" s="43">
        <v>1</v>
      </c>
      <c r="H32" s="44" t="s">
        <v>39</v>
      </c>
      <c r="I32" s="41" t="s">
        <v>92</v>
      </c>
      <c r="J32" s="41"/>
      <c r="M32" s="45"/>
    </row>
    <row r="33" spans="1:13" ht="13.5" customHeight="1" x14ac:dyDescent="0.2">
      <c r="A33" s="41" t="s">
        <v>94</v>
      </c>
      <c r="B33" s="41"/>
      <c r="C33" s="41"/>
      <c r="D33" s="41"/>
      <c r="E33" s="42">
        <v>231717</v>
      </c>
      <c r="F33" s="43">
        <v>1</v>
      </c>
      <c r="G33" s="43">
        <v>1</v>
      </c>
      <c r="H33" s="44" t="s">
        <v>59</v>
      </c>
      <c r="I33" s="41" t="s">
        <v>60</v>
      </c>
      <c r="J33" s="41"/>
      <c r="M33" s="45"/>
    </row>
    <row r="34" spans="1:13" ht="13.5" customHeight="1" x14ac:dyDescent="0.2">
      <c r="A34" s="41" t="s">
        <v>95</v>
      </c>
      <c r="B34" s="41"/>
      <c r="C34" s="41"/>
      <c r="D34" s="41"/>
      <c r="E34" s="42">
        <v>231718</v>
      </c>
      <c r="F34" s="43">
        <v>1</v>
      </c>
      <c r="G34" s="43">
        <v>1</v>
      </c>
      <c r="H34" s="44" t="s">
        <v>63</v>
      </c>
      <c r="I34" s="41" t="s">
        <v>60</v>
      </c>
      <c r="J34" s="41"/>
      <c r="M34" s="45"/>
    </row>
    <row r="35" spans="1:13" ht="13.5" customHeight="1" x14ac:dyDescent="0.2">
      <c r="A35" s="41" t="s">
        <v>96</v>
      </c>
      <c r="B35" s="41"/>
      <c r="C35" s="41"/>
      <c r="D35" s="41"/>
      <c r="E35" s="42">
        <v>231719</v>
      </c>
      <c r="F35" s="43">
        <v>1</v>
      </c>
      <c r="G35" s="43">
        <v>1</v>
      </c>
      <c r="H35" s="44" t="s">
        <v>41</v>
      </c>
      <c r="I35" s="41" t="s">
        <v>60</v>
      </c>
      <c r="J35" s="41"/>
      <c r="M35" s="45"/>
    </row>
    <row r="36" spans="1:13" ht="13.5" customHeight="1" x14ac:dyDescent="0.2">
      <c r="A36" s="41" t="s">
        <v>96</v>
      </c>
      <c r="B36" s="41"/>
      <c r="C36" s="41"/>
      <c r="D36" s="41"/>
      <c r="E36" s="42">
        <v>231719</v>
      </c>
      <c r="F36" s="43">
        <v>2</v>
      </c>
      <c r="G36" s="43">
        <v>1</v>
      </c>
      <c r="H36" s="44" t="s">
        <v>97</v>
      </c>
      <c r="I36" s="41" t="s">
        <v>60</v>
      </c>
      <c r="J36" s="41"/>
      <c r="M36" s="45"/>
    </row>
    <row r="37" spans="1:13" ht="13.5" customHeight="1" x14ac:dyDescent="0.2">
      <c r="A37" s="41" t="s">
        <v>98</v>
      </c>
      <c r="B37" s="41"/>
      <c r="C37" s="41"/>
      <c r="D37" s="41"/>
      <c r="E37" s="42">
        <v>231720</v>
      </c>
      <c r="F37" s="43">
        <v>1</v>
      </c>
      <c r="G37" s="43">
        <v>1</v>
      </c>
      <c r="H37" s="44" t="s">
        <v>41</v>
      </c>
      <c r="I37" s="41" t="s">
        <v>60</v>
      </c>
      <c r="J37" s="41"/>
      <c r="M37" s="45"/>
    </row>
    <row r="38" spans="1:13" ht="13.5" customHeight="1" x14ac:dyDescent="0.2">
      <c r="A38" s="41" t="s">
        <v>99</v>
      </c>
      <c r="B38" s="41"/>
      <c r="C38" s="41"/>
      <c r="D38" s="41"/>
      <c r="E38" s="42">
        <v>231721</v>
      </c>
      <c r="F38" s="43">
        <v>1</v>
      </c>
      <c r="G38" s="43">
        <v>1</v>
      </c>
      <c r="H38" s="44" t="s">
        <v>41</v>
      </c>
      <c r="I38" s="41" t="s">
        <v>42</v>
      </c>
      <c r="J38" s="41"/>
      <c r="M38" s="45"/>
    </row>
    <row r="39" spans="1:13" ht="13.5" customHeight="1" x14ac:dyDescent="0.2">
      <c r="A39" s="41" t="s">
        <v>99</v>
      </c>
      <c r="B39" s="41"/>
      <c r="C39" s="41"/>
      <c r="D39" s="41"/>
      <c r="E39" s="42">
        <v>231721</v>
      </c>
      <c r="F39" s="43">
        <v>2</v>
      </c>
      <c r="G39" s="43">
        <v>2</v>
      </c>
      <c r="H39" s="44" t="s">
        <v>43</v>
      </c>
      <c r="I39" s="41" t="s">
        <v>42</v>
      </c>
      <c r="J39" s="41"/>
      <c r="M39" s="45"/>
    </row>
    <row r="40" spans="1:13" ht="13.5" customHeight="1" x14ac:dyDescent="0.2">
      <c r="A40" s="41" t="s">
        <v>100</v>
      </c>
      <c r="B40" s="41"/>
      <c r="C40" s="41"/>
      <c r="D40" s="41"/>
      <c r="E40" s="42">
        <v>231722</v>
      </c>
      <c r="F40" s="43">
        <v>1</v>
      </c>
      <c r="G40" s="43">
        <v>1</v>
      </c>
      <c r="H40" s="44" t="s">
        <v>44</v>
      </c>
      <c r="I40" s="41" t="s">
        <v>36</v>
      </c>
      <c r="J40" s="41"/>
      <c r="M40" s="45"/>
    </row>
    <row r="41" spans="1:13" ht="13.5" customHeight="1" x14ac:dyDescent="0.2">
      <c r="A41" s="41" t="s">
        <v>101</v>
      </c>
      <c r="B41" s="41"/>
      <c r="C41" s="41"/>
      <c r="D41" s="41"/>
      <c r="E41" s="42">
        <v>231724</v>
      </c>
      <c r="F41" s="43">
        <v>1</v>
      </c>
      <c r="G41" s="43">
        <v>1</v>
      </c>
      <c r="H41" s="44" t="s">
        <v>102</v>
      </c>
      <c r="I41" s="41" t="s">
        <v>92</v>
      </c>
      <c r="J41" s="41"/>
      <c r="M41" s="45"/>
    </row>
    <row r="42" spans="1:13" ht="13.5" customHeight="1" x14ac:dyDescent="0.2">
      <c r="A42" s="41" t="s">
        <v>101</v>
      </c>
      <c r="B42" s="41"/>
      <c r="C42" s="41"/>
      <c r="D42" s="41"/>
      <c r="E42" s="42">
        <v>231724</v>
      </c>
      <c r="F42" s="43">
        <v>2</v>
      </c>
      <c r="G42" s="43">
        <v>1</v>
      </c>
      <c r="H42" s="44" t="s">
        <v>103</v>
      </c>
      <c r="I42" s="41" t="s">
        <v>92</v>
      </c>
      <c r="J42" s="41"/>
      <c r="M42" s="45"/>
    </row>
    <row r="43" spans="1:13" ht="13.5" customHeight="1" x14ac:dyDescent="0.2">
      <c r="A43" s="41" t="s">
        <v>104</v>
      </c>
      <c r="B43" s="41"/>
      <c r="C43" s="41"/>
      <c r="D43" s="41"/>
      <c r="E43" s="42">
        <v>231725</v>
      </c>
      <c r="F43" s="43">
        <v>1</v>
      </c>
      <c r="G43" s="43">
        <v>1</v>
      </c>
      <c r="H43" s="44" t="s">
        <v>105</v>
      </c>
      <c r="I43" s="41" t="s">
        <v>106</v>
      </c>
      <c r="J43" s="41"/>
      <c r="M43" s="45"/>
    </row>
    <row r="44" spans="1:13" ht="13.5" customHeight="1" x14ac:dyDescent="0.2">
      <c r="A44" s="41" t="s">
        <v>104</v>
      </c>
      <c r="B44" s="41"/>
      <c r="C44" s="41"/>
      <c r="D44" s="41"/>
      <c r="E44" s="42">
        <v>231725</v>
      </c>
      <c r="F44" s="43">
        <v>2</v>
      </c>
      <c r="G44" s="43">
        <v>1</v>
      </c>
      <c r="H44" s="44" t="s">
        <v>107</v>
      </c>
      <c r="I44" s="41" t="s">
        <v>106</v>
      </c>
      <c r="J44" s="41"/>
      <c r="M44" s="45"/>
    </row>
    <row r="45" spans="1:13" ht="13.5" customHeight="1" x14ac:dyDescent="0.2">
      <c r="A45" s="41" t="s">
        <v>108</v>
      </c>
      <c r="B45" s="41"/>
      <c r="C45" s="41"/>
      <c r="D45" s="41"/>
      <c r="E45" s="42">
        <v>231726</v>
      </c>
      <c r="F45" s="43">
        <v>1</v>
      </c>
      <c r="G45" s="43">
        <v>1</v>
      </c>
      <c r="H45" s="44" t="s">
        <v>56</v>
      </c>
      <c r="I45" s="41" t="s">
        <v>106</v>
      </c>
      <c r="J45" s="41"/>
      <c r="M45" s="45"/>
    </row>
    <row r="46" spans="1:13" ht="13.5" customHeight="1" x14ac:dyDescent="0.2">
      <c r="A46" s="41" t="s">
        <v>108</v>
      </c>
      <c r="B46" s="41"/>
      <c r="C46" s="41"/>
      <c r="D46" s="41"/>
      <c r="E46" s="42">
        <v>231726</v>
      </c>
      <c r="F46" s="43">
        <v>2</v>
      </c>
      <c r="G46" s="43">
        <v>1</v>
      </c>
      <c r="H46" s="44" t="s">
        <v>109</v>
      </c>
      <c r="I46" s="41" t="s">
        <v>106</v>
      </c>
      <c r="J46" s="41"/>
      <c r="M46" s="45"/>
    </row>
    <row r="47" spans="1:13" ht="13.5" customHeight="1" x14ac:dyDescent="0.2">
      <c r="A47" s="41" t="s">
        <v>108</v>
      </c>
      <c r="B47" s="41"/>
      <c r="C47" s="41"/>
      <c r="D47" s="41"/>
      <c r="E47" s="42">
        <v>231726</v>
      </c>
      <c r="F47" s="43">
        <v>3</v>
      </c>
      <c r="G47" s="43">
        <v>1</v>
      </c>
      <c r="H47" s="44" t="s">
        <v>110</v>
      </c>
      <c r="I47" s="41" t="s">
        <v>106</v>
      </c>
      <c r="J47" s="41"/>
      <c r="M47" s="45"/>
    </row>
    <row r="48" spans="1:13" ht="13.5" customHeight="1" x14ac:dyDescent="0.2">
      <c r="A48" s="41" t="s">
        <v>108</v>
      </c>
      <c r="B48" s="41"/>
      <c r="C48" s="41"/>
      <c r="D48" s="41"/>
      <c r="E48" s="42">
        <v>231726</v>
      </c>
      <c r="F48" s="43">
        <v>4</v>
      </c>
      <c r="G48" s="43">
        <v>1</v>
      </c>
      <c r="H48" s="44" t="s">
        <v>111</v>
      </c>
      <c r="I48" s="41" t="s">
        <v>106</v>
      </c>
      <c r="J48" s="41"/>
      <c r="M48" s="45"/>
    </row>
    <row r="49" spans="1:14" ht="13.5" customHeight="1" x14ac:dyDescent="0.2">
      <c r="A49" s="41" t="s">
        <v>112</v>
      </c>
      <c r="B49" s="41"/>
      <c r="C49" s="41"/>
      <c r="D49" s="41"/>
      <c r="E49" s="42">
        <v>231727</v>
      </c>
      <c r="F49" s="43">
        <v>1</v>
      </c>
      <c r="G49" s="43">
        <v>1</v>
      </c>
      <c r="H49" s="44" t="s">
        <v>102</v>
      </c>
      <c r="I49" s="41" t="s">
        <v>92</v>
      </c>
      <c r="J49" s="41"/>
      <c r="M49" s="45"/>
    </row>
    <row r="50" spans="1:14" ht="13.5" customHeight="1" x14ac:dyDescent="0.2">
      <c r="A50" s="41" t="s">
        <v>113</v>
      </c>
      <c r="B50" s="41"/>
      <c r="C50" s="41"/>
      <c r="D50" s="41"/>
      <c r="E50" s="42">
        <v>231730</v>
      </c>
      <c r="F50" s="43">
        <v>1</v>
      </c>
      <c r="G50" s="43">
        <v>1</v>
      </c>
      <c r="H50" s="44" t="s">
        <v>114</v>
      </c>
      <c r="I50" s="41" t="s">
        <v>45</v>
      </c>
      <c r="J50" s="41"/>
      <c r="M50" s="45"/>
    </row>
    <row r="51" spans="1:14" ht="13.5" customHeight="1" x14ac:dyDescent="0.2">
      <c r="A51" s="41" t="s">
        <v>115</v>
      </c>
      <c r="B51" s="41"/>
      <c r="C51" s="41"/>
      <c r="D51" s="41"/>
      <c r="E51" s="42">
        <v>231731</v>
      </c>
      <c r="F51" s="43">
        <v>1</v>
      </c>
      <c r="G51" s="43">
        <v>1</v>
      </c>
      <c r="H51" s="44" t="s">
        <v>107</v>
      </c>
      <c r="I51" s="41" t="s">
        <v>106</v>
      </c>
      <c r="J51" s="41"/>
      <c r="M51" s="45"/>
    </row>
    <row r="52" spans="1:14" ht="13.5" customHeight="1" x14ac:dyDescent="0.2">
      <c r="A52" s="41" t="s">
        <v>116</v>
      </c>
      <c r="B52" s="41"/>
      <c r="C52" s="41"/>
      <c r="D52" s="41"/>
      <c r="E52" s="42">
        <v>231732</v>
      </c>
      <c r="F52" s="43">
        <v>1</v>
      </c>
      <c r="G52" s="43">
        <v>1</v>
      </c>
      <c r="H52" s="44" t="s">
        <v>77</v>
      </c>
      <c r="I52" s="41" t="s">
        <v>106</v>
      </c>
      <c r="J52" s="41"/>
      <c r="M52" s="45"/>
    </row>
    <row r="53" spans="1:14" ht="13.5" customHeight="1" x14ac:dyDescent="0.2">
      <c r="A53" s="41" t="s">
        <v>117</v>
      </c>
      <c r="B53" s="41"/>
      <c r="C53" s="41"/>
      <c r="D53" s="41"/>
      <c r="E53" s="42">
        <v>231733</v>
      </c>
      <c r="F53" s="43">
        <v>1</v>
      </c>
      <c r="G53" s="43">
        <v>1</v>
      </c>
      <c r="H53" s="44" t="s">
        <v>77</v>
      </c>
      <c r="I53" s="41" t="s">
        <v>106</v>
      </c>
      <c r="J53" s="41"/>
      <c r="M53" s="45"/>
    </row>
    <row r="54" spans="1:14" ht="13.5" customHeight="1" x14ac:dyDescent="0.2">
      <c r="A54" s="41" t="s">
        <v>118</v>
      </c>
      <c r="B54" s="41"/>
      <c r="C54" s="41"/>
      <c r="D54" s="41"/>
      <c r="E54" s="42">
        <v>231734</v>
      </c>
      <c r="F54" s="43">
        <v>1</v>
      </c>
      <c r="G54" s="43">
        <v>1</v>
      </c>
      <c r="H54" s="44" t="s">
        <v>119</v>
      </c>
      <c r="I54" s="41" t="s">
        <v>106</v>
      </c>
      <c r="J54" s="41"/>
      <c r="M54" s="45"/>
    </row>
    <row r="55" spans="1:14" ht="13.5" customHeight="1" x14ac:dyDescent="0.2">
      <c r="A55" s="41" t="s">
        <v>120</v>
      </c>
      <c r="B55" s="41"/>
      <c r="C55" s="41"/>
      <c r="D55" s="41"/>
      <c r="E55" s="42">
        <v>231735</v>
      </c>
      <c r="F55" s="43">
        <v>1</v>
      </c>
      <c r="G55" s="43">
        <v>1</v>
      </c>
      <c r="H55" s="44" t="s">
        <v>109</v>
      </c>
      <c r="I55" s="41" t="s">
        <v>106</v>
      </c>
      <c r="J55" s="41"/>
      <c r="M55" s="45"/>
    </row>
    <row r="56" spans="1:14" ht="13.5" customHeight="1" x14ac:dyDescent="0.2">
      <c r="A56" s="41" t="s">
        <v>121</v>
      </c>
      <c r="B56" s="41"/>
      <c r="C56" s="41"/>
      <c r="D56" s="41"/>
      <c r="E56" s="42">
        <v>231736</v>
      </c>
      <c r="F56" s="43">
        <v>1</v>
      </c>
      <c r="G56" s="43">
        <v>1</v>
      </c>
      <c r="H56" s="44" t="s">
        <v>109</v>
      </c>
      <c r="I56" s="41" t="s">
        <v>106</v>
      </c>
      <c r="J56" s="41"/>
      <c r="M56" s="45"/>
    </row>
    <row r="57" spans="1:14" ht="13.5" customHeight="1" x14ac:dyDescent="0.2">
      <c r="A57" s="41" t="s">
        <v>122</v>
      </c>
      <c r="B57" s="41"/>
      <c r="C57" s="41"/>
      <c r="D57" s="41"/>
      <c r="E57" s="42">
        <v>231737</v>
      </c>
      <c r="F57" s="43">
        <v>1</v>
      </c>
      <c r="G57" s="43">
        <v>1</v>
      </c>
      <c r="H57" s="44" t="s">
        <v>123</v>
      </c>
      <c r="I57" s="41" t="s">
        <v>60</v>
      </c>
      <c r="J57" s="41"/>
      <c r="M57" s="45"/>
    </row>
    <row r="58" spans="1:14" ht="13.5" customHeight="1" x14ac:dyDescent="0.2">
      <c r="A58" s="41" t="s">
        <v>124</v>
      </c>
      <c r="B58" s="41"/>
      <c r="C58" s="41"/>
      <c r="D58" s="41"/>
      <c r="E58" s="42">
        <v>231738</v>
      </c>
      <c r="F58" s="43">
        <v>1</v>
      </c>
      <c r="G58" s="43">
        <v>1</v>
      </c>
      <c r="H58" s="44" t="s">
        <v>105</v>
      </c>
      <c r="I58" s="41" t="s">
        <v>106</v>
      </c>
      <c r="J58" s="41"/>
      <c r="M58" s="45"/>
    </row>
    <row r="59" spans="1:14" ht="13.5" customHeight="1" x14ac:dyDescent="0.2">
      <c r="A59" s="61" t="s">
        <v>125</v>
      </c>
      <c r="B59" s="61"/>
      <c r="C59" s="61"/>
      <c r="D59" s="61"/>
      <c r="E59" s="42">
        <v>231739</v>
      </c>
      <c r="F59" s="43">
        <v>1</v>
      </c>
      <c r="G59" s="43">
        <v>1</v>
      </c>
      <c r="H59" s="44" t="s">
        <v>58</v>
      </c>
      <c r="I59" s="61" t="s">
        <v>126</v>
      </c>
      <c r="J59" s="61"/>
      <c r="M59" s="45"/>
    </row>
    <row r="60" spans="1:14" ht="13.5" customHeight="1" x14ac:dyDescent="0.2">
      <c r="A60" s="62" t="s">
        <v>75</v>
      </c>
      <c r="B60" s="63"/>
      <c r="C60" s="63"/>
      <c r="D60" s="64"/>
      <c r="E60" s="56">
        <v>231680</v>
      </c>
      <c r="F60" s="57">
        <v>1</v>
      </c>
      <c r="G60" s="57">
        <v>1</v>
      </c>
      <c r="H60" s="58" t="s">
        <v>40</v>
      </c>
      <c r="I60" s="65" t="s">
        <v>37</v>
      </c>
      <c r="J60" s="64"/>
      <c r="K60" s="59"/>
      <c r="L60" s="60" t="s">
        <v>54</v>
      </c>
      <c r="M60" s="45"/>
      <c r="N60" s="55"/>
    </row>
    <row r="61" spans="1:14" ht="13.5" customHeight="1" x14ac:dyDescent="0.2">
      <c r="A61" s="62" t="s">
        <v>76</v>
      </c>
      <c r="B61" s="63"/>
      <c r="C61" s="63"/>
      <c r="D61" s="64"/>
      <c r="E61" s="56">
        <v>231681</v>
      </c>
      <c r="F61" s="57">
        <v>1</v>
      </c>
      <c r="G61" s="57">
        <v>1</v>
      </c>
      <c r="H61" s="58" t="s">
        <v>77</v>
      </c>
      <c r="I61" s="65" t="s">
        <v>78</v>
      </c>
      <c r="J61" s="64"/>
      <c r="K61" s="59"/>
      <c r="L61" s="60" t="s">
        <v>54</v>
      </c>
      <c r="M61" s="45"/>
      <c r="N61" s="55"/>
    </row>
    <row r="62" spans="1:14" ht="13.5" customHeight="1" x14ac:dyDescent="0.2">
      <c r="A62" s="62" t="s">
        <v>76</v>
      </c>
      <c r="B62" s="63"/>
      <c r="C62" s="63"/>
      <c r="D62" s="64"/>
      <c r="E62" s="56">
        <v>231681</v>
      </c>
      <c r="F62" s="57">
        <v>2</v>
      </c>
      <c r="G62" s="57">
        <v>1</v>
      </c>
      <c r="H62" s="58" t="s">
        <v>79</v>
      </c>
      <c r="I62" s="65" t="s">
        <v>78</v>
      </c>
      <c r="J62" s="64"/>
      <c r="K62" s="59"/>
      <c r="L62" s="60" t="s">
        <v>54</v>
      </c>
      <c r="M62" s="45"/>
      <c r="N62" s="55"/>
    </row>
    <row r="63" spans="1:14" ht="13.5" customHeight="1" x14ac:dyDescent="0.2">
      <c r="A63" s="62" t="s">
        <v>76</v>
      </c>
      <c r="B63" s="63"/>
      <c r="C63" s="63"/>
      <c r="D63" s="64"/>
      <c r="E63" s="56">
        <v>231681</v>
      </c>
      <c r="F63" s="57">
        <v>3</v>
      </c>
      <c r="G63" s="57">
        <v>1</v>
      </c>
      <c r="H63" s="58" t="s">
        <v>77</v>
      </c>
      <c r="I63" s="65" t="s">
        <v>78</v>
      </c>
      <c r="J63" s="64"/>
      <c r="K63" s="59"/>
      <c r="L63" s="60" t="s">
        <v>54</v>
      </c>
      <c r="M63" s="45"/>
      <c r="N63" s="55"/>
    </row>
    <row r="64" spans="1:14" ht="13.5" customHeight="1" x14ac:dyDescent="0.2">
      <c r="A64" s="62" t="s">
        <v>113</v>
      </c>
      <c r="B64" s="63"/>
      <c r="C64" s="63"/>
      <c r="D64" s="64"/>
      <c r="E64" s="56">
        <v>231730</v>
      </c>
      <c r="F64" s="57">
        <v>1</v>
      </c>
      <c r="G64" s="57">
        <v>1</v>
      </c>
      <c r="H64" s="58" t="s">
        <v>114</v>
      </c>
      <c r="I64" s="65" t="s">
        <v>45</v>
      </c>
      <c r="J64" s="64"/>
      <c r="K64" s="59"/>
      <c r="L64" s="60" t="s">
        <v>54</v>
      </c>
      <c r="M64" s="45"/>
      <c r="N64" s="55"/>
    </row>
    <row r="65" spans="1:14" ht="13.5" customHeight="1" x14ac:dyDescent="0.2">
      <c r="A65" s="62" t="s">
        <v>115</v>
      </c>
      <c r="B65" s="63"/>
      <c r="C65" s="63"/>
      <c r="D65" s="64"/>
      <c r="E65" s="56">
        <v>231731</v>
      </c>
      <c r="F65" s="57">
        <v>1</v>
      </c>
      <c r="G65" s="57">
        <v>1</v>
      </c>
      <c r="H65" s="58" t="s">
        <v>107</v>
      </c>
      <c r="I65" s="65" t="s">
        <v>106</v>
      </c>
      <c r="J65" s="64"/>
      <c r="K65" s="59"/>
      <c r="L65" s="60" t="s">
        <v>54</v>
      </c>
      <c r="M65" s="45"/>
      <c r="N65" s="55"/>
    </row>
    <row r="66" spans="1:14" ht="13.5" customHeight="1" x14ac:dyDescent="0.2">
      <c r="A66" s="62" t="s">
        <v>116</v>
      </c>
      <c r="B66" s="63"/>
      <c r="C66" s="63"/>
      <c r="D66" s="64"/>
      <c r="E66" s="56">
        <v>231732</v>
      </c>
      <c r="F66" s="57">
        <v>1</v>
      </c>
      <c r="G66" s="57">
        <v>1</v>
      </c>
      <c r="H66" s="58" t="s">
        <v>77</v>
      </c>
      <c r="I66" s="65" t="s">
        <v>106</v>
      </c>
      <c r="J66" s="64"/>
      <c r="K66" s="59"/>
      <c r="L66" s="60" t="s">
        <v>54</v>
      </c>
      <c r="M66" s="45"/>
      <c r="N66" s="55"/>
    </row>
    <row r="67" spans="1:14" ht="13.5" customHeight="1" x14ac:dyDescent="0.2">
      <c r="A67" s="62" t="s">
        <v>117</v>
      </c>
      <c r="B67" s="63"/>
      <c r="C67" s="63"/>
      <c r="D67" s="64"/>
      <c r="E67" s="56">
        <v>231733</v>
      </c>
      <c r="F67" s="57">
        <v>1</v>
      </c>
      <c r="G67" s="57">
        <v>1</v>
      </c>
      <c r="H67" s="58" t="s">
        <v>77</v>
      </c>
      <c r="I67" s="65" t="s">
        <v>106</v>
      </c>
      <c r="J67" s="64"/>
      <c r="K67" s="59"/>
      <c r="L67" s="60" t="s">
        <v>54</v>
      </c>
      <c r="M67" s="45"/>
      <c r="N67" s="55"/>
    </row>
    <row r="68" spans="1:14" ht="13.5" customHeight="1" x14ac:dyDescent="0.2">
      <c r="A68" s="62" t="s">
        <v>118</v>
      </c>
      <c r="B68" s="63"/>
      <c r="C68" s="63"/>
      <c r="D68" s="64"/>
      <c r="E68" s="56">
        <v>231734</v>
      </c>
      <c r="F68" s="57">
        <v>1</v>
      </c>
      <c r="G68" s="57">
        <v>1</v>
      </c>
      <c r="H68" s="58" t="s">
        <v>119</v>
      </c>
      <c r="I68" s="65" t="s">
        <v>106</v>
      </c>
      <c r="J68" s="64"/>
      <c r="K68" s="59"/>
      <c r="L68" s="60" t="s">
        <v>54</v>
      </c>
      <c r="M68" s="45"/>
      <c r="N68" s="55"/>
    </row>
    <row r="69" spans="1:14" ht="13.5" customHeight="1" x14ac:dyDescent="0.2">
      <c r="A69" s="62" t="s">
        <v>120</v>
      </c>
      <c r="B69" s="63"/>
      <c r="C69" s="63"/>
      <c r="D69" s="64"/>
      <c r="E69" s="56">
        <v>231735</v>
      </c>
      <c r="F69" s="57">
        <v>1</v>
      </c>
      <c r="G69" s="57">
        <v>1</v>
      </c>
      <c r="H69" s="58" t="s">
        <v>109</v>
      </c>
      <c r="I69" s="65" t="s">
        <v>106</v>
      </c>
      <c r="J69" s="64"/>
      <c r="K69" s="59"/>
      <c r="L69" s="60" t="s">
        <v>54</v>
      </c>
      <c r="M69" s="45"/>
      <c r="N69" s="55"/>
    </row>
    <row r="70" spans="1:14" ht="13.5" customHeight="1" x14ac:dyDescent="0.2">
      <c r="A70" s="62" t="s">
        <v>121</v>
      </c>
      <c r="B70" s="63"/>
      <c r="C70" s="63"/>
      <c r="D70" s="64"/>
      <c r="E70" s="56">
        <v>231736</v>
      </c>
      <c r="F70" s="57">
        <v>1</v>
      </c>
      <c r="G70" s="57">
        <v>1</v>
      </c>
      <c r="H70" s="58" t="s">
        <v>109</v>
      </c>
      <c r="I70" s="65" t="s">
        <v>106</v>
      </c>
      <c r="J70" s="64"/>
      <c r="K70" s="59"/>
      <c r="L70" s="60" t="s">
        <v>54</v>
      </c>
      <c r="M70" s="45"/>
      <c r="N70" s="55"/>
    </row>
    <row r="71" spans="1:14" ht="13.5" customHeight="1" x14ac:dyDescent="0.2">
      <c r="A71" s="62" t="s">
        <v>122</v>
      </c>
      <c r="B71" s="63"/>
      <c r="C71" s="63"/>
      <c r="D71" s="64"/>
      <c r="E71" s="56">
        <v>231737</v>
      </c>
      <c r="F71" s="57">
        <v>1</v>
      </c>
      <c r="G71" s="57">
        <v>1</v>
      </c>
      <c r="H71" s="58" t="s">
        <v>123</v>
      </c>
      <c r="I71" s="65" t="s">
        <v>60</v>
      </c>
      <c r="J71" s="64"/>
      <c r="K71" s="59"/>
      <c r="L71" s="60" t="s">
        <v>54</v>
      </c>
      <c r="M71" s="45"/>
      <c r="N71" s="55"/>
    </row>
    <row r="72" spans="1:14" ht="13.5" customHeight="1" x14ac:dyDescent="0.2">
      <c r="A72" s="66" t="s">
        <v>8</v>
      </c>
      <c r="B72" s="66"/>
      <c r="C72" s="66"/>
      <c r="D72" s="66"/>
      <c r="I72" s="67"/>
      <c r="J72" s="67"/>
    </row>
    <row r="73" spans="1:14" ht="13.5" customHeight="1" x14ac:dyDescent="0.2">
      <c r="A73" s="41" t="s">
        <v>127</v>
      </c>
      <c r="B73" s="41"/>
      <c r="C73" s="41"/>
      <c r="D73" s="41"/>
      <c r="E73" s="42">
        <v>231589</v>
      </c>
      <c r="F73" s="43">
        <v>1</v>
      </c>
      <c r="G73" s="43">
        <v>1</v>
      </c>
      <c r="H73" s="44" t="s">
        <v>128</v>
      </c>
      <c r="I73" s="41" t="s">
        <v>126</v>
      </c>
      <c r="J73" s="41"/>
      <c r="M73" s="45"/>
    </row>
    <row r="74" spans="1:14" ht="13.5" customHeight="1" x14ac:dyDescent="0.2">
      <c r="A74" s="41" t="s">
        <v>127</v>
      </c>
      <c r="B74" s="41"/>
      <c r="C74" s="41"/>
      <c r="D74" s="41"/>
      <c r="E74" s="42">
        <v>231589</v>
      </c>
      <c r="F74" s="43">
        <v>2</v>
      </c>
      <c r="G74" s="43">
        <v>1</v>
      </c>
      <c r="H74" s="44" t="s">
        <v>129</v>
      </c>
      <c r="I74" s="41" t="s">
        <v>126</v>
      </c>
      <c r="J74" s="41"/>
      <c r="M74" s="45"/>
    </row>
    <row r="75" spans="1:14" ht="13.5" customHeight="1" x14ac:dyDescent="0.2">
      <c r="A75" s="41" t="s">
        <v>127</v>
      </c>
      <c r="B75" s="41"/>
      <c r="C75" s="41"/>
      <c r="D75" s="41"/>
      <c r="E75" s="42">
        <v>231589</v>
      </c>
      <c r="F75" s="43">
        <v>3</v>
      </c>
      <c r="G75" s="43">
        <v>1</v>
      </c>
      <c r="H75" s="44" t="s">
        <v>130</v>
      </c>
      <c r="I75" s="41" t="s">
        <v>126</v>
      </c>
      <c r="J75" s="41"/>
      <c r="M75" s="45"/>
    </row>
    <row r="76" spans="1:14" ht="13.5" customHeight="1" x14ac:dyDescent="0.2">
      <c r="A76" s="41" t="s">
        <v>131</v>
      </c>
      <c r="B76" s="41"/>
      <c r="C76" s="41"/>
      <c r="D76" s="41"/>
      <c r="E76" s="42">
        <v>231590</v>
      </c>
      <c r="F76" s="43">
        <v>1</v>
      </c>
      <c r="G76" s="43">
        <v>1</v>
      </c>
      <c r="H76" s="44" t="s">
        <v>132</v>
      </c>
      <c r="I76" s="41" t="s">
        <v>133</v>
      </c>
      <c r="J76" s="41"/>
      <c r="M76" s="45"/>
    </row>
    <row r="77" spans="1:14" ht="13.5" customHeight="1" x14ac:dyDescent="0.2">
      <c r="A77" s="41" t="s">
        <v>131</v>
      </c>
      <c r="B77" s="41"/>
      <c r="C77" s="41"/>
      <c r="D77" s="41"/>
      <c r="E77" s="42">
        <v>231590</v>
      </c>
      <c r="F77" s="43">
        <v>2</v>
      </c>
      <c r="G77" s="43">
        <v>1</v>
      </c>
      <c r="H77" s="44" t="s">
        <v>134</v>
      </c>
      <c r="I77" s="41" t="s">
        <v>133</v>
      </c>
      <c r="J77" s="41"/>
      <c r="M77" s="45"/>
    </row>
    <row r="78" spans="1:14" ht="13.5" customHeight="1" x14ac:dyDescent="0.2">
      <c r="A78" s="41" t="s">
        <v>135</v>
      </c>
      <c r="B78" s="41"/>
      <c r="C78" s="41"/>
      <c r="D78" s="41"/>
      <c r="E78" s="42">
        <v>231591</v>
      </c>
      <c r="F78" s="43">
        <v>1</v>
      </c>
      <c r="G78" s="43">
        <v>1</v>
      </c>
      <c r="H78" s="44" t="s">
        <v>136</v>
      </c>
      <c r="I78" s="41" t="s">
        <v>133</v>
      </c>
      <c r="J78" s="41"/>
      <c r="M78" s="45"/>
    </row>
    <row r="79" spans="1:14" ht="13.5" customHeight="1" x14ac:dyDescent="0.2">
      <c r="A79" s="41" t="s">
        <v>135</v>
      </c>
      <c r="B79" s="41"/>
      <c r="C79" s="41"/>
      <c r="D79" s="41"/>
      <c r="E79" s="42">
        <v>231591</v>
      </c>
      <c r="F79" s="43">
        <v>2</v>
      </c>
      <c r="G79" s="43">
        <v>1</v>
      </c>
      <c r="H79" s="44" t="s">
        <v>137</v>
      </c>
      <c r="I79" s="41" t="s">
        <v>133</v>
      </c>
      <c r="J79" s="41"/>
      <c r="M79" s="45"/>
    </row>
    <row r="80" spans="1:14" ht="13.5" customHeight="1" x14ac:dyDescent="0.2">
      <c r="A80" s="41" t="s">
        <v>138</v>
      </c>
      <c r="B80" s="41"/>
      <c r="C80" s="41"/>
      <c r="D80" s="41"/>
      <c r="E80" s="42">
        <v>231592</v>
      </c>
      <c r="F80" s="43">
        <v>1</v>
      </c>
      <c r="G80" s="43">
        <v>1</v>
      </c>
      <c r="H80" s="44" t="s">
        <v>139</v>
      </c>
      <c r="I80" s="41" t="s">
        <v>140</v>
      </c>
      <c r="J80" s="41"/>
      <c r="M80" s="45"/>
    </row>
    <row r="81" spans="1:13" ht="13.5" customHeight="1" x14ac:dyDescent="0.2">
      <c r="A81" s="41" t="s">
        <v>138</v>
      </c>
      <c r="B81" s="41"/>
      <c r="C81" s="41"/>
      <c r="D81" s="41"/>
      <c r="E81" s="42">
        <v>231592</v>
      </c>
      <c r="F81" s="43">
        <v>2</v>
      </c>
      <c r="G81" s="43">
        <v>1</v>
      </c>
      <c r="H81" s="44" t="s">
        <v>141</v>
      </c>
      <c r="I81" s="41" t="s">
        <v>140</v>
      </c>
      <c r="J81" s="41"/>
      <c r="M81" s="45"/>
    </row>
    <row r="82" spans="1:13" ht="13.5" customHeight="1" x14ac:dyDescent="0.2">
      <c r="A82" s="41" t="s">
        <v>138</v>
      </c>
      <c r="B82" s="41"/>
      <c r="C82" s="41"/>
      <c r="D82" s="41"/>
      <c r="E82" s="42">
        <v>231592</v>
      </c>
      <c r="F82" s="43">
        <v>3</v>
      </c>
      <c r="G82" s="43">
        <v>1</v>
      </c>
      <c r="H82" s="44" t="s">
        <v>142</v>
      </c>
      <c r="I82" s="41" t="s">
        <v>140</v>
      </c>
      <c r="J82" s="41"/>
      <c r="M82" s="45"/>
    </row>
    <row r="83" spans="1:13" ht="13.5" customHeight="1" x14ac:dyDescent="0.2">
      <c r="A83" s="41" t="s">
        <v>143</v>
      </c>
      <c r="B83" s="41"/>
      <c r="C83" s="41"/>
      <c r="D83" s="41"/>
      <c r="E83" s="42">
        <v>231593</v>
      </c>
      <c r="F83" s="43">
        <v>1</v>
      </c>
      <c r="G83" s="43">
        <v>1</v>
      </c>
      <c r="H83" s="44" t="s">
        <v>144</v>
      </c>
      <c r="I83" s="41" t="s">
        <v>140</v>
      </c>
      <c r="J83" s="41"/>
      <c r="M83" s="45"/>
    </row>
    <row r="84" spans="1:13" ht="13.5" customHeight="1" x14ac:dyDescent="0.2">
      <c r="A84" s="41" t="s">
        <v>143</v>
      </c>
      <c r="B84" s="41"/>
      <c r="C84" s="41"/>
      <c r="D84" s="41"/>
      <c r="E84" s="42">
        <v>231593</v>
      </c>
      <c r="F84" s="43">
        <v>2</v>
      </c>
      <c r="G84" s="43">
        <v>1</v>
      </c>
      <c r="H84" s="44" t="s">
        <v>46</v>
      </c>
      <c r="I84" s="41" t="s">
        <v>140</v>
      </c>
      <c r="J84" s="41"/>
      <c r="M84" s="45"/>
    </row>
    <row r="85" spans="1:13" ht="13.5" customHeight="1" x14ac:dyDescent="0.2">
      <c r="A85" s="41" t="s">
        <v>145</v>
      </c>
      <c r="B85" s="41"/>
      <c r="C85" s="41"/>
      <c r="D85" s="41"/>
      <c r="E85" s="42">
        <v>231594</v>
      </c>
      <c r="F85" s="43">
        <v>1</v>
      </c>
      <c r="G85" s="43">
        <v>1</v>
      </c>
      <c r="H85" s="44" t="s">
        <v>146</v>
      </c>
      <c r="I85" s="41" t="s">
        <v>147</v>
      </c>
      <c r="J85" s="41"/>
      <c r="M85" s="45"/>
    </row>
    <row r="86" spans="1:13" ht="13.5" customHeight="1" x14ac:dyDescent="0.2">
      <c r="A86" s="41" t="s">
        <v>145</v>
      </c>
      <c r="B86" s="41"/>
      <c r="C86" s="41"/>
      <c r="D86" s="41"/>
      <c r="E86" s="42">
        <v>231594</v>
      </c>
      <c r="F86" s="43">
        <v>2</v>
      </c>
      <c r="G86" s="43">
        <v>1</v>
      </c>
      <c r="H86" s="44" t="s">
        <v>148</v>
      </c>
      <c r="I86" s="41" t="s">
        <v>147</v>
      </c>
      <c r="J86" s="41"/>
      <c r="M86" s="45"/>
    </row>
    <row r="87" spans="1:13" ht="13.5" customHeight="1" x14ac:dyDescent="0.2">
      <c r="A87" s="41" t="s">
        <v>149</v>
      </c>
      <c r="B87" s="41"/>
      <c r="C87" s="41"/>
      <c r="D87" s="41"/>
      <c r="E87" s="42">
        <v>231595</v>
      </c>
      <c r="F87" s="43">
        <v>1</v>
      </c>
      <c r="G87" s="43">
        <v>1</v>
      </c>
      <c r="H87" s="44" t="s">
        <v>150</v>
      </c>
      <c r="I87" s="41" t="s">
        <v>147</v>
      </c>
      <c r="J87" s="41"/>
      <c r="M87" s="45"/>
    </row>
    <row r="88" spans="1:13" ht="13.5" customHeight="1" x14ac:dyDescent="0.2">
      <c r="A88" s="41" t="s">
        <v>149</v>
      </c>
      <c r="B88" s="41"/>
      <c r="C88" s="41"/>
      <c r="D88" s="41"/>
      <c r="E88" s="42">
        <v>231595</v>
      </c>
      <c r="F88" s="43">
        <v>2</v>
      </c>
      <c r="G88" s="43">
        <v>1</v>
      </c>
      <c r="H88" s="44" t="s">
        <v>128</v>
      </c>
      <c r="I88" s="41" t="s">
        <v>147</v>
      </c>
      <c r="J88" s="41"/>
      <c r="M88" s="45"/>
    </row>
    <row r="89" spans="1:13" ht="13.5" customHeight="1" x14ac:dyDescent="0.2">
      <c r="A89" s="41" t="s">
        <v>151</v>
      </c>
      <c r="B89" s="41"/>
      <c r="C89" s="41"/>
      <c r="D89" s="41"/>
      <c r="E89" s="42">
        <v>231596</v>
      </c>
      <c r="F89" s="43">
        <v>1</v>
      </c>
      <c r="G89" s="43">
        <v>1</v>
      </c>
      <c r="H89" s="44" t="s">
        <v>46</v>
      </c>
      <c r="I89" s="41" t="s">
        <v>68</v>
      </c>
      <c r="J89" s="41"/>
      <c r="M89" s="45"/>
    </row>
    <row r="90" spans="1:13" ht="13.5" customHeight="1" x14ac:dyDescent="0.2">
      <c r="A90" s="41" t="s">
        <v>151</v>
      </c>
      <c r="B90" s="41"/>
      <c r="C90" s="41"/>
      <c r="D90" s="41"/>
      <c r="E90" s="42">
        <v>231596</v>
      </c>
      <c r="F90" s="43">
        <v>2</v>
      </c>
      <c r="G90" s="43">
        <v>1</v>
      </c>
      <c r="H90" s="44" t="s">
        <v>152</v>
      </c>
      <c r="I90" s="41" t="s">
        <v>68</v>
      </c>
      <c r="J90" s="41"/>
      <c r="M90" s="45"/>
    </row>
    <row r="91" spans="1:13" ht="13.5" customHeight="1" x14ac:dyDescent="0.2">
      <c r="A91" s="41" t="s">
        <v>151</v>
      </c>
      <c r="B91" s="41"/>
      <c r="C91" s="41"/>
      <c r="D91" s="41"/>
      <c r="E91" s="42">
        <v>231596</v>
      </c>
      <c r="F91" s="43">
        <v>3</v>
      </c>
      <c r="G91" s="43">
        <v>1</v>
      </c>
      <c r="H91" s="44" t="s">
        <v>153</v>
      </c>
      <c r="I91" s="41" t="s">
        <v>68</v>
      </c>
      <c r="J91" s="41"/>
      <c r="M91" s="45"/>
    </row>
    <row r="92" spans="1:13" ht="13.5" customHeight="1" x14ac:dyDescent="0.2">
      <c r="A92" s="41" t="s">
        <v>66</v>
      </c>
      <c r="B92" s="41"/>
      <c r="C92" s="41"/>
      <c r="D92" s="41"/>
      <c r="E92" s="42">
        <v>231597</v>
      </c>
      <c r="F92" s="43">
        <v>1</v>
      </c>
      <c r="G92" s="43">
        <v>1</v>
      </c>
      <c r="H92" s="44" t="s">
        <v>154</v>
      </c>
      <c r="I92" s="41" t="s">
        <v>68</v>
      </c>
      <c r="J92" s="41"/>
      <c r="M92" s="45"/>
    </row>
    <row r="93" spans="1:13" ht="13.5" customHeight="1" x14ac:dyDescent="0.2">
      <c r="A93" s="41" t="s">
        <v>66</v>
      </c>
      <c r="B93" s="41"/>
      <c r="C93" s="41"/>
      <c r="D93" s="41"/>
      <c r="E93" s="42">
        <v>231597</v>
      </c>
      <c r="F93" s="43">
        <v>2</v>
      </c>
      <c r="G93" s="43">
        <v>1</v>
      </c>
      <c r="H93" s="44" t="s">
        <v>128</v>
      </c>
      <c r="I93" s="41" t="s">
        <v>68</v>
      </c>
      <c r="J93" s="41"/>
      <c r="M93" s="45"/>
    </row>
    <row r="94" spans="1:13" ht="13.5" customHeight="1" x14ac:dyDescent="0.2">
      <c r="A94" s="41" t="s">
        <v>155</v>
      </c>
      <c r="B94" s="41"/>
      <c r="C94" s="41"/>
      <c r="D94" s="41"/>
      <c r="E94" s="42">
        <v>231742</v>
      </c>
      <c r="F94" s="43">
        <v>2</v>
      </c>
      <c r="G94" s="43">
        <v>1</v>
      </c>
      <c r="H94" s="44" t="s">
        <v>156</v>
      </c>
      <c r="I94" s="41" t="s">
        <v>157</v>
      </c>
      <c r="J94" s="41"/>
      <c r="M94" s="45"/>
    </row>
    <row r="95" spans="1:13" ht="13.5" customHeight="1" x14ac:dyDescent="0.2">
      <c r="A95" s="41" t="s">
        <v>158</v>
      </c>
      <c r="B95" s="41"/>
      <c r="C95" s="41"/>
      <c r="D95" s="41"/>
      <c r="E95" s="42">
        <v>231743</v>
      </c>
      <c r="F95" s="43">
        <v>2</v>
      </c>
      <c r="G95" s="43">
        <v>1</v>
      </c>
      <c r="H95" s="44" t="s">
        <v>159</v>
      </c>
      <c r="I95" s="41" t="s">
        <v>160</v>
      </c>
      <c r="J95" s="41"/>
      <c r="M95" s="45"/>
    </row>
    <row r="96" spans="1:13" ht="13.5" customHeight="1" x14ac:dyDescent="0.2">
      <c r="A96" s="61" t="s">
        <v>158</v>
      </c>
      <c r="B96" s="61"/>
      <c r="C96" s="61"/>
      <c r="D96" s="61"/>
      <c r="E96" s="42">
        <v>231743</v>
      </c>
      <c r="F96" s="43">
        <v>3</v>
      </c>
      <c r="G96" s="43">
        <v>1</v>
      </c>
      <c r="H96" s="44" t="s">
        <v>161</v>
      </c>
      <c r="I96" s="61" t="s">
        <v>160</v>
      </c>
      <c r="J96" s="61"/>
      <c r="M96" s="45"/>
    </row>
    <row r="97" spans="1:14" ht="13.5" customHeight="1" x14ac:dyDescent="0.2">
      <c r="A97" s="62" t="s">
        <v>155</v>
      </c>
      <c r="B97" s="63"/>
      <c r="C97" s="63"/>
      <c r="D97" s="64"/>
      <c r="E97" s="56">
        <v>231742</v>
      </c>
      <c r="F97" s="57">
        <v>2</v>
      </c>
      <c r="G97" s="57">
        <v>1</v>
      </c>
      <c r="H97" s="58" t="s">
        <v>156</v>
      </c>
      <c r="I97" s="65" t="s">
        <v>157</v>
      </c>
      <c r="J97" s="64"/>
      <c r="K97" s="59"/>
      <c r="L97" s="60" t="s">
        <v>54</v>
      </c>
      <c r="M97" s="45"/>
      <c r="N97" s="55"/>
    </row>
    <row r="98" spans="1:14" ht="12" customHeight="1" x14ac:dyDescent="0.2"/>
    <row r="99" spans="1:14" ht="12.95" customHeight="1" x14ac:dyDescent="0.2"/>
    <row r="100" spans="1:14" ht="15" customHeight="1" x14ac:dyDescent="0.2">
      <c r="J100" s="46"/>
      <c r="K100" s="47"/>
      <c r="L100" s="47"/>
      <c r="M100" s="47"/>
      <c r="N100" s="47"/>
    </row>
  </sheetData>
  <sheetProtection sheet="1" objects="1" scenarios="1" selectLockedCells="1"/>
  <mergeCells count="192">
    <mergeCell ref="A96:D96"/>
    <mergeCell ref="I96:J96"/>
    <mergeCell ref="A97:D97"/>
    <mergeCell ref="I97:J97"/>
    <mergeCell ref="A93:D93"/>
    <mergeCell ref="I93:J93"/>
    <mergeCell ref="A94:D94"/>
    <mergeCell ref="I94:J94"/>
    <mergeCell ref="A95:D95"/>
    <mergeCell ref="I95:J95"/>
    <mergeCell ref="A90:D90"/>
    <mergeCell ref="I90:J90"/>
    <mergeCell ref="A91:D91"/>
    <mergeCell ref="I91:J91"/>
    <mergeCell ref="A92:D92"/>
    <mergeCell ref="I92:J92"/>
    <mergeCell ref="A87:D87"/>
    <mergeCell ref="I87:J87"/>
    <mergeCell ref="A88:D88"/>
    <mergeCell ref="I88:J88"/>
    <mergeCell ref="A89:D89"/>
    <mergeCell ref="I89:J89"/>
    <mergeCell ref="A84:D84"/>
    <mergeCell ref="I84:J84"/>
    <mergeCell ref="A85:D85"/>
    <mergeCell ref="I85:J85"/>
    <mergeCell ref="A86:D86"/>
    <mergeCell ref="I86:J86"/>
    <mergeCell ref="A81:D81"/>
    <mergeCell ref="I81:J81"/>
    <mergeCell ref="A82:D82"/>
    <mergeCell ref="I82:J82"/>
    <mergeCell ref="A83:D83"/>
    <mergeCell ref="I83:J83"/>
    <mergeCell ref="A78:D78"/>
    <mergeCell ref="I78:J78"/>
    <mergeCell ref="A79:D79"/>
    <mergeCell ref="I79:J79"/>
    <mergeCell ref="A80:D80"/>
    <mergeCell ref="I80:J80"/>
    <mergeCell ref="A75:D75"/>
    <mergeCell ref="I75:J75"/>
    <mergeCell ref="A76:D76"/>
    <mergeCell ref="I76:J76"/>
    <mergeCell ref="A77:D77"/>
    <mergeCell ref="I77:J77"/>
    <mergeCell ref="A72:D72"/>
    <mergeCell ref="I72:J72"/>
    <mergeCell ref="A73:D73"/>
    <mergeCell ref="I73:J73"/>
    <mergeCell ref="A74:D74"/>
    <mergeCell ref="I74:J74"/>
    <mergeCell ref="A69:D69"/>
    <mergeCell ref="I69:J69"/>
    <mergeCell ref="A70:D70"/>
    <mergeCell ref="I70:J70"/>
    <mergeCell ref="A71:D71"/>
    <mergeCell ref="I71:J71"/>
    <mergeCell ref="A66:D66"/>
    <mergeCell ref="I66:J66"/>
    <mergeCell ref="A67:D67"/>
    <mergeCell ref="I67:J67"/>
    <mergeCell ref="A68:D68"/>
    <mergeCell ref="I68:J68"/>
    <mergeCell ref="A63:D63"/>
    <mergeCell ref="I63:J63"/>
    <mergeCell ref="A64:D64"/>
    <mergeCell ref="I64:J64"/>
    <mergeCell ref="A65:D65"/>
    <mergeCell ref="I65:J65"/>
    <mergeCell ref="A60:D60"/>
    <mergeCell ref="I60:J60"/>
    <mergeCell ref="A61:D61"/>
    <mergeCell ref="I61:J61"/>
    <mergeCell ref="A62:D62"/>
    <mergeCell ref="I62:J62"/>
    <mergeCell ref="A57:D57"/>
    <mergeCell ref="I57:J57"/>
    <mergeCell ref="A58:D58"/>
    <mergeCell ref="I58:J58"/>
    <mergeCell ref="A59:D59"/>
    <mergeCell ref="I59:J59"/>
    <mergeCell ref="A54:D54"/>
    <mergeCell ref="I54:J54"/>
    <mergeCell ref="A55:D55"/>
    <mergeCell ref="I55:J55"/>
    <mergeCell ref="A56:D56"/>
    <mergeCell ref="I56:J56"/>
    <mergeCell ref="A51:D51"/>
    <mergeCell ref="I51:J51"/>
    <mergeCell ref="A52:D52"/>
    <mergeCell ref="I52:J52"/>
    <mergeCell ref="A53:D53"/>
    <mergeCell ref="I53:J53"/>
    <mergeCell ref="A48:D48"/>
    <mergeCell ref="I48:J48"/>
    <mergeCell ref="A49:D49"/>
    <mergeCell ref="I49:J49"/>
    <mergeCell ref="A50:D50"/>
    <mergeCell ref="I50:J50"/>
    <mergeCell ref="A45:D45"/>
    <mergeCell ref="I45:J45"/>
    <mergeCell ref="A46:D46"/>
    <mergeCell ref="I46:J46"/>
    <mergeCell ref="A47:D47"/>
    <mergeCell ref="I47:J47"/>
    <mergeCell ref="A42:D42"/>
    <mergeCell ref="I42:J42"/>
    <mergeCell ref="A43:D43"/>
    <mergeCell ref="I43:J43"/>
    <mergeCell ref="A44:D44"/>
    <mergeCell ref="I44:J44"/>
    <mergeCell ref="A39:D39"/>
    <mergeCell ref="I39:J39"/>
    <mergeCell ref="A40:D40"/>
    <mergeCell ref="I40:J40"/>
    <mergeCell ref="A41:D41"/>
    <mergeCell ref="I41:J41"/>
    <mergeCell ref="A36:D36"/>
    <mergeCell ref="I36:J36"/>
    <mergeCell ref="A37:D37"/>
    <mergeCell ref="I37:J37"/>
    <mergeCell ref="A38:D38"/>
    <mergeCell ref="I38:J38"/>
    <mergeCell ref="A33:D33"/>
    <mergeCell ref="I33:J33"/>
    <mergeCell ref="A34:D34"/>
    <mergeCell ref="I34:J34"/>
    <mergeCell ref="A35:D35"/>
    <mergeCell ref="I35:J35"/>
    <mergeCell ref="A30:D30"/>
    <mergeCell ref="I30:J30"/>
    <mergeCell ref="A31:D31"/>
    <mergeCell ref="I31:J31"/>
    <mergeCell ref="A32:D32"/>
    <mergeCell ref="I32:J32"/>
    <mergeCell ref="A27:D27"/>
    <mergeCell ref="I27:J27"/>
    <mergeCell ref="A28:D28"/>
    <mergeCell ref="I28:J28"/>
    <mergeCell ref="A29:D29"/>
    <mergeCell ref="I29:J29"/>
    <mergeCell ref="A24:D24"/>
    <mergeCell ref="I24:J24"/>
    <mergeCell ref="A25:D25"/>
    <mergeCell ref="I25:J25"/>
    <mergeCell ref="A26:D26"/>
    <mergeCell ref="I26:J26"/>
    <mergeCell ref="A21:D21"/>
    <mergeCell ref="I21:J21"/>
    <mergeCell ref="A22:D22"/>
    <mergeCell ref="I22:J22"/>
    <mergeCell ref="A23:D23"/>
    <mergeCell ref="I23:J23"/>
    <mergeCell ref="A18:D18"/>
    <mergeCell ref="I18:J18"/>
    <mergeCell ref="A19:D19"/>
    <mergeCell ref="I19:J19"/>
    <mergeCell ref="A20:D20"/>
    <mergeCell ref="I20:J20"/>
    <mergeCell ref="A15:D15"/>
    <mergeCell ref="I15:J15"/>
    <mergeCell ref="A16:D16"/>
    <mergeCell ref="I16:J16"/>
    <mergeCell ref="A17:D17"/>
    <mergeCell ref="I17:J17"/>
    <mergeCell ref="A12:D12"/>
    <mergeCell ref="I12:J12"/>
    <mergeCell ref="A13:D13"/>
    <mergeCell ref="I13:J13"/>
    <mergeCell ref="A14:D14"/>
    <mergeCell ref="I14:J14"/>
    <mergeCell ref="A9:D9"/>
    <mergeCell ref="I9:J9"/>
    <mergeCell ref="A10:D10"/>
    <mergeCell ref="I10:J10"/>
    <mergeCell ref="A11:D11"/>
    <mergeCell ref="I11:J11"/>
    <mergeCell ref="A5:D5"/>
    <mergeCell ref="I5:J5"/>
    <mergeCell ref="A7:D7"/>
    <mergeCell ref="I7:J7"/>
    <mergeCell ref="A8:D8"/>
    <mergeCell ref="I8:J8"/>
    <mergeCell ref="D2:H2"/>
    <mergeCell ref="I2:L2"/>
    <mergeCell ref="O2:W2"/>
    <mergeCell ref="X2:AG2"/>
    <mergeCell ref="AO2:AV2"/>
    <mergeCell ref="O3:W3"/>
    <mergeCell ref="X3:AG3"/>
    <mergeCell ref="AO3:AV3"/>
  </mergeCells>
  <pageMargins left="0.195833333333333" right="0.195833333333333" top="0.195833333333333" bottom="0.195833333333333" header="0" footer="0"/>
  <pageSetup paperSize="0" scale="0" fitToWidth="0" fitToHeight="0" orientation="portrait" horizontalDpi="0" verticalDpi="0" copie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6ECB2A-6AAD-4B66-93FD-1F3943A689FC}">
  <sheetPr codeName="Sheet5">
    <outlinePr summaryBelow="0" summaryRight="0"/>
    <pageSetUpPr autoPageBreaks="0"/>
  </sheetPr>
  <dimension ref="A1:AV100"/>
  <sheetViews>
    <sheetView tabSelected="1" workbookViewId="0">
      <pane ySplit="5" topLeftCell="A6" activePane="bottomLeft" state="frozenSplit"/>
      <selection pane="bottomLeft" activeCell="X6" sqref="X6"/>
    </sheetView>
  </sheetViews>
  <sheetFormatPr defaultColWidth="6.85546875" defaultRowHeight="12.75" customHeight="1" x14ac:dyDescent="0.2"/>
  <cols>
    <col min="1" max="1" width="19" style="21" customWidth="1"/>
    <col min="2" max="2" width="1.5703125" style="21" customWidth="1"/>
    <col min="3" max="3" width="4.5703125" style="21" customWidth="1"/>
    <col min="4" max="4" width="3.42578125" style="21" customWidth="1"/>
    <col min="5" max="5" width="10.7109375" style="21" customWidth="1"/>
    <col min="6" max="6" width="8.140625" style="21" bestFit="1" customWidth="1"/>
    <col min="7" max="7" width="6.7109375" style="21" customWidth="1"/>
    <col min="8" max="8" width="14.7109375" style="21" customWidth="1"/>
    <col min="9" max="9" width="16.7109375" style="21" customWidth="1"/>
    <col min="10" max="10" width="18.28515625" style="21" customWidth="1"/>
    <col min="11" max="11" width="6.7109375" style="21" customWidth="1"/>
    <col min="12" max="12" width="3.7109375" style="21" customWidth="1"/>
    <col min="13" max="13" width="13.7109375" style="21" customWidth="1"/>
    <col min="14" max="14" width="1.7109375" style="21" customWidth="1"/>
    <col min="15" max="15" width="18.7109375" style="25" hidden="1" customWidth="1"/>
    <col min="16" max="16" width="20.7109375" style="26" hidden="1" customWidth="1"/>
    <col min="17" max="17" width="12.7109375" style="26" hidden="1" customWidth="1"/>
    <col min="18" max="18" width="10.7109375" style="26" hidden="1" customWidth="1"/>
    <col min="19" max="19" width="16.7109375" style="26" hidden="1" customWidth="1"/>
    <col min="20" max="20" width="25.7109375" style="27" hidden="1" customWidth="1"/>
    <col min="21" max="22" width="15.7109375" style="26" hidden="1" customWidth="1"/>
    <col min="23" max="23" width="20.7109375" style="26" hidden="1" customWidth="1"/>
    <col min="24" max="24" width="18.7109375" style="25" customWidth="1"/>
    <col min="25" max="25" width="20.7109375" style="26" customWidth="1"/>
    <col min="26" max="26" width="12.7109375" style="26" customWidth="1"/>
    <col min="27" max="27" width="10.7109375" style="26" customWidth="1"/>
    <col min="28" max="28" width="16.7109375" style="26" customWidth="1"/>
    <col min="29" max="29" width="25.7109375" style="27" customWidth="1"/>
    <col min="30" max="30" width="15.7109375" style="26" customWidth="1"/>
    <col min="31" max="31" width="0.140625" style="26" hidden="1" customWidth="1"/>
    <col min="32" max="32" width="20.7109375" style="26" customWidth="1"/>
    <col min="33" max="33" width="15.7109375" style="26" customWidth="1"/>
    <col min="34" max="40" width="6.85546875" style="20" customWidth="1"/>
    <col min="41" max="41" width="18.7109375" style="25" hidden="1" customWidth="1"/>
    <col min="42" max="42" width="20.7109375" style="26" hidden="1" customWidth="1"/>
    <col min="43" max="43" width="12.7109375" style="26" hidden="1" customWidth="1"/>
    <col min="44" max="44" width="10.7109375" style="26" hidden="1" customWidth="1"/>
    <col min="45" max="45" width="16.7109375" style="26" hidden="1" customWidth="1"/>
    <col min="46" max="46" width="25.7109375" style="26" hidden="1" customWidth="1"/>
    <col min="47" max="47" width="15.7109375" style="26" hidden="1" customWidth="1"/>
    <col min="48" max="48" width="20.7109375" style="26" hidden="1" customWidth="1"/>
    <col min="49" max="16384" width="6.85546875" style="20" customWidth="1"/>
  </cols>
  <sheetData>
    <row r="1" spans="1:48" s="21" customFormat="1" ht="6.75" customHeight="1" x14ac:dyDescent="0.2">
      <c r="O1" s="48"/>
      <c r="P1" s="49"/>
      <c r="Q1" s="49"/>
      <c r="R1" s="49"/>
      <c r="S1" s="49"/>
      <c r="T1" s="50"/>
      <c r="U1" s="49"/>
      <c r="V1" s="49"/>
      <c r="W1" s="49"/>
      <c r="X1" s="48"/>
      <c r="Y1" s="49"/>
      <c r="Z1" s="49"/>
      <c r="AA1" s="49"/>
      <c r="AB1" s="49"/>
      <c r="AC1" s="50"/>
      <c r="AD1" s="49"/>
      <c r="AE1" s="49"/>
      <c r="AF1" s="49"/>
      <c r="AG1" s="49"/>
      <c r="AO1" s="48"/>
      <c r="AP1" s="49"/>
      <c r="AQ1" s="49"/>
      <c r="AR1" s="49"/>
      <c r="AS1" s="49"/>
      <c r="AT1" s="49"/>
      <c r="AU1" s="49"/>
      <c r="AV1" s="49"/>
    </row>
    <row r="2" spans="1:48" s="21" customFormat="1" ht="24" customHeight="1" x14ac:dyDescent="0.2">
      <c r="D2" s="32" t="s">
        <v>0</v>
      </c>
      <c r="E2" s="32"/>
      <c r="F2" s="32"/>
      <c r="G2" s="32"/>
      <c r="H2" s="32"/>
      <c r="I2" s="33" t="s">
        <v>65</v>
      </c>
      <c r="J2" s="33"/>
      <c r="K2" s="33"/>
      <c r="L2" s="33"/>
      <c r="O2" s="70" t="str">
        <f ca="1">"Outbound: "&amp;SUMPRODUCT(SUBTOTAL(103,OFFSET($E$6,ROW($E$6:$E$97)-ROW($E$6),0,1)),--($U$6:$U$97="OK"),--($E$6:$E$97&lt;&gt;""))&amp;"/"&amp;SUMPRODUCT(SUBTOTAL(103,OFFSET($E$6,ROW($E$6:$E$97)-ROW($E$6),0,1)),--($E$6:$E$97&lt;&gt;""))&amp;" • "&amp;TEXT(IFERROR(SUMPRODUCT(SUBTOTAL(103,OFFSET($E$6,ROW($E$6:$E$97)-ROW($E$6),0,1)),--((($V$6:$V$97="On-Time")+($V$6:$V$97="Early"))&gt;0),--($E$6:$E$97&lt;&gt;""))/SUMPRODUCT(SUBTOTAL(103,OFFSET($E$6,ROW($E$6:$E$97)-ROW($E$6),0,1)),--($E$6:$E$97&lt;&gt;"")),0),"0.0%")&amp;" On Time"</f>
        <v>Outbound: 0/88 • 0.0% On Time</v>
      </c>
      <c r="P2" s="70"/>
      <c r="Q2" s="70"/>
      <c r="R2" s="70"/>
      <c r="S2" s="70"/>
      <c r="T2" s="70"/>
      <c r="U2" s="70"/>
      <c r="V2" s="70"/>
      <c r="W2" s="70"/>
      <c r="X2" s="71" t="str">
        <f ca="1">"Inbound: "&amp;SUMPRODUCT(SUBTOTAL(103,OFFSET($E$6,ROW($E$6:$E$97)-ROW($E$6),0,1)),--($AD$6:$AD$97="Received"),--($E$6:$E$97&lt;&gt;""))&amp;"/"&amp;SUMPRODUCT(SUBTOTAL(103,OFFSET($E$6,ROW($E$6:$E$97)-ROW($E$6),0,1)),--($E$6:$E$97&lt;&gt;""))&amp;" • "&amp;TEXT(IFERROR(SUMPRODUCT(SUBTOTAL(103,OFFSET($E$6,ROW($E$6:$E$97)-ROW($E$6),0,1)),--($AD$6:$AD$97="Received"),--($E$6:$E$97&lt;&gt;""))/SUMPRODUCT(SUBTOTAL(103,OFFSET($E$6,ROW($E$6:$E$97)-ROW($E$6),0,1)),--($E$6:$E$97&lt;&gt;"")),0),"0.0%")&amp;" Complete"</f>
        <v>Inbound: 0/88 • 0.0% Complete</v>
      </c>
      <c r="Y2" s="71"/>
      <c r="Z2" s="71"/>
      <c r="AA2" s="71"/>
      <c r="AB2" s="71"/>
      <c r="AC2" s="71"/>
      <c r="AD2" s="71"/>
      <c r="AE2" s="71"/>
      <c r="AF2" s="71"/>
      <c r="AG2" s="71"/>
      <c r="AO2" s="72" t="str">
        <f ca="1">"Staged: "&amp;SUMPRODUCT(SUBTOTAL(103,OFFSET($E$6,ROW($E$6:$E$97)-ROW($E$6),0,1)),--($AU$6:$AU$97="OK"),--($E$6:$E$97&lt;&gt;""))&amp;"/"&amp;SUMPRODUCT(SUBTOTAL(103,OFFSET($E$6,ROW($E$6:$E$97)-ROW($E$6),0,1)),--($E$6:$E$97&lt;&gt;""))&amp;" • "&amp;TEXT(IFERROR(SUMPRODUCT(SUBTOTAL(103,OFFSET($E$6,ROW($E$6:$E$97)-ROW($E$6),0,1)),--($AU$6:$AU$97="OK"),--($E$6:$E$97&lt;&gt;""))/SUMPRODUCT(SUBTOTAL(103,OFFSET($E$6,ROW($E$6:$E$97)-ROW($E$6),0,1)),--($E$6:$E$97&lt;&gt;"")),0),"0.0%")&amp;" Complete"</f>
        <v>Staged: 0/88 • 0.0% Complete</v>
      </c>
      <c r="AP2" s="72"/>
      <c r="AQ2" s="72"/>
      <c r="AR2" s="72"/>
      <c r="AS2" s="72"/>
      <c r="AT2" s="72"/>
      <c r="AU2" s="72"/>
      <c r="AV2" s="72"/>
    </row>
    <row r="3" spans="1:48" ht="54.95" customHeight="1" x14ac:dyDescent="0.2">
      <c r="O3" s="73" t="s">
        <v>26</v>
      </c>
      <c r="P3" s="74"/>
      <c r="Q3" s="74"/>
      <c r="R3" s="74"/>
      <c r="S3" s="74"/>
      <c r="T3" s="74"/>
      <c r="U3" s="74"/>
      <c r="V3" s="74"/>
      <c r="W3" s="74"/>
      <c r="X3" s="73" t="s">
        <v>28</v>
      </c>
      <c r="Y3" s="74"/>
      <c r="Z3" s="74"/>
      <c r="AA3" s="74"/>
      <c r="AB3" s="74"/>
      <c r="AC3" s="74"/>
      <c r="AD3" s="74"/>
      <c r="AE3" s="74"/>
      <c r="AF3" s="74"/>
      <c r="AG3" s="74"/>
      <c r="AO3" s="73" t="s">
        <v>27</v>
      </c>
      <c r="AP3" s="74"/>
      <c r="AQ3" s="74"/>
      <c r="AR3" s="74"/>
      <c r="AS3" s="74"/>
      <c r="AT3" s="74"/>
      <c r="AU3" s="74"/>
      <c r="AV3" s="74"/>
    </row>
    <row r="4" spans="1:48" ht="20.100000000000001" customHeight="1" x14ac:dyDescent="0.2">
      <c r="O4" s="28" t="s">
        <v>9</v>
      </c>
      <c r="P4" s="29"/>
      <c r="X4" s="28" t="s">
        <v>9</v>
      </c>
      <c r="Y4" s="29"/>
      <c r="AO4" s="28" t="s">
        <v>9</v>
      </c>
      <c r="AP4" s="29"/>
      <c r="AT4" s="27"/>
    </row>
    <row r="5" spans="1:48" ht="15" customHeight="1" x14ac:dyDescent="0.2">
      <c r="A5" s="34" t="s">
        <v>1</v>
      </c>
      <c r="B5" s="34"/>
      <c r="C5" s="34"/>
      <c r="D5" s="34"/>
      <c r="E5" s="35" t="s">
        <v>2</v>
      </c>
      <c r="F5" s="36" t="s">
        <v>3</v>
      </c>
      <c r="G5" s="36" t="s">
        <v>4</v>
      </c>
      <c r="H5" s="35" t="s">
        <v>5</v>
      </c>
      <c r="I5" s="34" t="s">
        <v>6</v>
      </c>
      <c r="J5" s="34"/>
      <c r="K5" s="37" t="s">
        <v>34</v>
      </c>
      <c r="L5" s="38" t="s">
        <v>54</v>
      </c>
      <c r="M5" s="38" t="s">
        <v>52</v>
      </c>
      <c r="P5" s="30" t="s">
        <v>10</v>
      </c>
      <c r="Q5" s="30" t="s">
        <v>2</v>
      </c>
      <c r="R5" s="30" t="s">
        <v>3</v>
      </c>
      <c r="S5" s="30" t="s">
        <v>11</v>
      </c>
      <c r="T5" s="31" t="s">
        <v>12</v>
      </c>
      <c r="U5" s="30" t="s">
        <v>13</v>
      </c>
      <c r="V5" s="30" t="s">
        <v>14</v>
      </c>
      <c r="W5" s="30" t="s">
        <v>15</v>
      </c>
      <c r="Y5" s="30" t="s">
        <v>10</v>
      </c>
      <c r="Z5" s="30" t="s">
        <v>2</v>
      </c>
      <c r="AA5" s="30" t="s">
        <v>3</v>
      </c>
      <c r="AB5" s="30" t="s">
        <v>11</v>
      </c>
      <c r="AC5" s="31" t="s">
        <v>64</v>
      </c>
      <c r="AD5" s="30" t="s">
        <v>13</v>
      </c>
      <c r="AE5" s="30"/>
      <c r="AF5" s="30" t="s">
        <v>15</v>
      </c>
      <c r="AG5" s="30" t="s">
        <v>16</v>
      </c>
      <c r="AP5" s="30" t="s">
        <v>10</v>
      </c>
      <c r="AQ5" s="30" t="s">
        <v>2</v>
      </c>
      <c r="AR5" s="30" t="s">
        <v>3</v>
      </c>
      <c r="AS5" s="30" t="s">
        <v>11</v>
      </c>
      <c r="AT5" s="30" t="s">
        <v>12</v>
      </c>
      <c r="AU5" s="30" t="s">
        <v>13</v>
      </c>
      <c r="AV5" s="30" t="s">
        <v>15</v>
      </c>
    </row>
    <row r="6" spans="1:48" ht="8.25" customHeight="1" x14ac:dyDescent="0.2"/>
    <row r="7" spans="1:48" ht="13.5" customHeight="1" x14ac:dyDescent="0.2">
      <c r="A7" s="39" t="s">
        <v>55</v>
      </c>
      <c r="B7" s="39"/>
      <c r="C7" s="39"/>
      <c r="D7" s="39"/>
      <c r="I7" s="40"/>
      <c r="J7" s="40"/>
    </row>
    <row r="8" spans="1:48" ht="13.5" customHeight="1" x14ac:dyDescent="0.2">
      <c r="A8" s="41" t="s">
        <v>66</v>
      </c>
      <c r="B8" s="41"/>
      <c r="C8" s="41"/>
      <c r="D8" s="41"/>
      <c r="E8" s="42">
        <v>231597</v>
      </c>
      <c r="F8" s="43">
        <v>3</v>
      </c>
      <c r="G8" s="43">
        <v>1</v>
      </c>
      <c r="H8" s="44" t="s">
        <v>67</v>
      </c>
      <c r="I8" s="41" t="s">
        <v>68</v>
      </c>
      <c r="J8" s="41"/>
      <c r="M8" s="45"/>
    </row>
    <row r="9" spans="1:48" ht="13.5" customHeight="1" x14ac:dyDescent="0.2">
      <c r="A9" s="61" t="s">
        <v>69</v>
      </c>
      <c r="B9" s="61"/>
      <c r="C9" s="61"/>
      <c r="D9" s="61"/>
      <c r="E9" s="42">
        <v>231740</v>
      </c>
      <c r="F9" s="43">
        <v>1</v>
      </c>
      <c r="G9" s="43">
        <v>1</v>
      </c>
      <c r="H9" s="44" t="s">
        <v>70</v>
      </c>
      <c r="I9" s="61" t="s">
        <v>71</v>
      </c>
      <c r="J9" s="61"/>
      <c r="M9" s="45"/>
    </row>
    <row r="10" spans="1:48" ht="13.5" customHeight="1" x14ac:dyDescent="0.2">
      <c r="A10" s="62" t="s">
        <v>69</v>
      </c>
      <c r="B10" s="63"/>
      <c r="C10" s="63"/>
      <c r="D10" s="64"/>
      <c r="E10" s="56">
        <v>231740</v>
      </c>
      <c r="F10" s="57">
        <v>1</v>
      </c>
      <c r="G10" s="57">
        <v>1</v>
      </c>
      <c r="H10" s="58" t="s">
        <v>70</v>
      </c>
      <c r="I10" s="65" t="s">
        <v>71</v>
      </c>
      <c r="J10" s="64"/>
      <c r="K10" s="59"/>
      <c r="L10" s="60" t="s">
        <v>54</v>
      </c>
      <c r="M10" s="45"/>
      <c r="N10" s="55"/>
    </row>
    <row r="11" spans="1:48" ht="13.5" customHeight="1" x14ac:dyDescent="0.2">
      <c r="A11" s="66" t="s">
        <v>7</v>
      </c>
      <c r="B11" s="66"/>
      <c r="C11" s="66"/>
      <c r="D11" s="66"/>
      <c r="I11" s="67"/>
      <c r="J11" s="67"/>
    </row>
    <row r="12" spans="1:48" ht="13.5" customHeight="1" x14ac:dyDescent="0.2">
      <c r="A12" s="41" t="s">
        <v>72</v>
      </c>
      <c r="B12" s="41"/>
      <c r="C12" s="41"/>
      <c r="D12" s="41"/>
      <c r="E12" s="42">
        <v>231613</v>
      </c>
      <c r="F12" s="43">
        <v>1</v>
      </c>
      <c r="G12" s="43">
        <v>1</v>
      </c>
      <c r="H12" s="44" t="s">
        <v>62</v>
      </c>
      <c r="I12" s="41" t="s">
        <v>68</v>
      </c>
      <c r="J12" s="41"/>
      <c r="M12" s="45"/>
    </row>
    <row r="13" spans="1:48" ht="13.5" customHeight="1" x14ac:dyDescent="0.2">
      <c r="A13" s="41" t="s">
        <v>72</v>
      </c>
      <c r="B13" s="41"/>
      <c r="C13" s="41"/>
      <c r="D13" s="41"/>
      <c r="E13" s="42">
        <v>231613</v>
      </c>
      <c r="F13" s="43">
        <v>2</v>
      </c>
      <c r="G13" s="43">
        <v>1</v>
      </c>
      <c r="H13" s="44" t="s">
        <v>38</v>
      </c>
      <c r="I13" s="41" t="s">
        <v>68</v>
      </c>
      <c r="J13" s="41"/>
      <c r="M13" s="45"/>
    </row>
    <row r="14" spans="1:48" ht="13.5" customHeight="1" x14ac:dyDescent="0.2">
      <c r="A14" s="41" t="s">
        <v>72</v>
      </c>
      <c r="B14" s="41"/>
      <c r="C14" s="41"/>
      <c r="D14" s="41"/>
      <c r="E14" s="42">
        <v>231613</v>
      </c>
      <c r="F14" s="43">
        <v>3</v>
      </c>
      <c r="G14" s="43">
        <v>1</v>
      </c>
      <c r="H14" s="44" t="s">
        <v>73</v>
      </c>
      <c r="I14" s="41" t="s">
        <v>68</v>
      </c>
      <c r="J14" s="41"/>
      <c r="M14" s="45"/>
    </row>
    <row r="15" spans="1:48" ht="13.5" customHeight="1" x14ac:dyDescent="0.2">
      <c r="A15" s="41" t="s">
        <v>72</v>
      </c>
      <c r="B15" s="41"/>
      <c r="C15" s="41"/>
      <c r="D15" s="41"/>
      <c r="E15" s="42">
        <v>231613</v>
      </c>
      <c r="F15" s="43">
        <v>4</v>
      </c>
      <c r="G15" s="43">
        <v>1</v>
      </c>
      <c r="H15" s="44" t="s">
        <v>74</v>
      </c>
      <c r="I15" s="41" t="s">
        <v>68</v>
      </c>
      <c r="J15" s="41"/>
      <c r="M15" s="45"/>
    </row>
    <row r="16" spans="1:48" ht="13.5" customHeight="1" x14ac:dyDescent="0.2">
      <c r="A16" s="41" t="s">
        <v>75</v>
      </c>
      <c r="B16" s="41"/>
      <c r="C16" s="41"/>
      <c r="D16" s="41"/>
      <c r="E16" s="42">
        <v>231680</v>
      </c>
      <c r="F16" s="43">
        <v>1</v>
      </c>
      <c r="G16" s="43">
        <v>1</v>
      </c>
      <c r="H16" s="44" t="s">
        <v>40</v>
      </c>
      <c r="I16" s="41" t="s">
        <v>37</v>
      </c>
      <c r="J16" s="41"/>
      <c r="M16" s="45"/>
    </row>
    <row r="17" spans="1:13" ht="13.5" customHeight="1" x14ac:dyDescent="0.2">
      <c r="A17" s="41" t="s">
        <v>76</v>
      </c>
      <c r="B17" s="41"/>
      <c r="C17" s="41"/>
      <c r="D17" s="41"/>
      <c r="E17" s="42">
        <v>231681</v>
      </c>
      <c r="F17" s="43">
        <v>1</v>
      </c>
      <c r="G17" s="43">
        <v>1</v>
      </c>
      <c r="H17" s="44" t="s">
        <v>77</v>
      </c>
      <c r="I17" s="41" t="s">
        <v>78</v>
      </c>
      <c r="J17" s="41"/>
      <c r="M17" s="45"/>
    </row>
    <row r="18" spans="1:13" ht="13.5" customHeight="1" x14ac:dyDescent="0.2">
      <c r="A18" s="41" t="s">
        <v>76</v>
      </c>
      <c r="B18" s="41"/>
      <c r="C18" s="41"/>
      <c r="D18" s="41"/>
      <c r="E18" s="42">
        <v>231681</v>
      </c>
      <c r="F18" s="43">
        <v>2</v>
      </c>
      <c r="G18" s="43">
        <v>1</v>
      </c>
      <c r="H18" s="44" t="s">
        <v>79</v>
      </c>
      <c r="I18" s="41" t="s">
        <v>78</v>
      </c>
      <c r="J18" s="41"/>
      <c r="M18" s="45"/>
    </row>
    <row r="19" spans="1:13" ht="13.5" customHeight="1" x14ac:dyDescent="0.2">
      <c r="A19" s="41" t="s">
        <v>76</v>
      </c>
      <c r="B19" s="41"/>
      <c r="C19" s="41"/>
      <c r="D19" s="41"/>
      <c r="E19" s="42">
        <v>231681</v>
      </c>
      <c r="F19" s="43">
        <v>3</v>
      </c>
      <c r="G19" s="43">
        <v>1</v>
      </c>
      <c r="H19" s="44" t="s">
        <v>77</v>
      </c>
      <c r="I19" s="41" t="s">
        <v>78</v>
      </c>
      <c r="J19" s="41"/>
      <c r="M19" s="45"/>
    </row>
    <row r="20" spans="1:13" ht="13.5" customHeight="1" x14ac:dyDescent="0.2">
      <c r="A20" s="41" t="s">
        <v>80</v>
      </c>
      <c r="B20" s="41"/>
      <c r="C20" s="41"/>
      <c r="D20" s="41"/>
      <c r="E20" s="42">
        <v>231705</v>
      </c>
      <c r="F20" s="43">
        <v>1</v>
      </c>
      <c r="G20" s="43">
        <v>4</v>
      </c>
      <c r="H20" s="44" t="s">
        <v>43</v>
      </c>
      <c r="I20" s="41" t="s">
        <v>42</v>
      </c>
      <c r="J20" s="41"/>
      <c r="M20" s="45"/>
    </row>
    <row r="21" spans="1:13" ht="13.5" customHeight="1" x14ac:dyDescent="0.2">
      <c r="A21" s="41" t="s">
        <v>81</v>
      </c>
      <c r="B21" s="41"/>
      <c r="C21" s="41"/>
      <c r="D21" s="41"/>
      <c r="E21" s="42">
        <v>231706</v>
      </c>
      <c r="F21" s="43">
        <v>1</v>
      </c>
      <c r="G21" s="43">
        <v>1</v>
      </c>
      <c r="H21" s="44" t="s">
        <v>41</v>
      </c>
      <c r="I21" s="41" t="s">
        <v>42</v>
      </c>
      <c r="J21" s="41"/>
      <c r="M21" s="45"/>
    </row>
    <row r="22" spans="1:13" ht="13.5" customHeight="1" x14ac:dyDescent="0.2">
      <c r="A22" s="41" t="s">
        <v>81</v>
      </c>
      <c r="B22" s="41"/>
      <c r="C22" s="41"/>
      <c r="D22" s="41"/>
      <c r="E22" s="42">
        <v>231706</v>
      </c>
      <c r="F22" s="43">
        <v>2</v>
      </c>
      <c r="G22" s="43">
        <v>2</v>
      </c>
      <c r="H22" s="44" t="s">
        <v>43</v>
      </c>
      <c r="I22" s="41" t="s">
        <v>42</v>
      </c>
      <c r="J22" s="41"/>
      <c r="M22" s="45"/>
    </row>
    <row r="23" spans="1:13" ht="13.5" customHeight="1" x14ac:dyDescent="0.2">
      <c r="A23" s="41" t="s">
        <v>82</v>
      </c>
      <c r="B23" s="41"/>
      <c r="C23" s="41"/>
      <c r="D23" s="41"/>
      <c r="E23" s="42">
        <v>231708</v>
      </c>
      <c r="F23" s="43">
        <v>1</v>
      </c>
      <c r="G23" s="43">
        <v>1</v>
      </c>
      <c r="H23" s="44" t="s">
        <v>83</v>
      </c>
      <c r="I23" s="41" t="s">
        <v>60</v>
      </c>
      <c r="J23" s="41"/>
      <c r="M23" s="45"/>
    </row>
    <row r="24" spans="1:13" ht="13.5" customHeight="1" x14ac:dyDescent="0.2">
      <c r="A24" s="41" t="s">
        <v>84</v>
      </c>
      <c r="B24" s="41"/>
      <c r="C24" s="41"/>
      <c r="D24" s="41"/>
      <c r="E24" s="42">
        <v>231709</v>
      </c>
      <c r="F24" s="43">
        <v>1</v>
      </c>
      <c r="G24" s="43">
        <v>1</v>
      </c>
      <c r="H24" s="44" t="s">
        <v>39</v>
      </c>
      <c r="I24" s="41" t="s">
        <v>60</v>
      </c>
      <c r="J24" s="41"/>
      <c r="M24" s="45"/>
    </row>
    <row r="25" spans="1:13" ht="13.5" customHeight="1" x14ac:dyDescent="0.2">
      <c r="A25" s="41" t="s">
        <v>84</v>
      </c>
      <c r="B25" s="41"/>
      <c r="C25" s="41"/>
      <c r="D25" s="41"/>
      <c r="E25" s="42">
        <v>231709</v>
      </c>
      <c r="F25" s="43">
        <v>2</v>
      </c>
      <c r="G25" s="43">
        <v>1</v>
      </c>
      <c r="H25" s="44" t="s">
        <v>85</v>
      </c>
      <c r="I25" s="41" t="s">
        <v>60</v>
      </c>
      <c r="J25" s="41"/>
      <c r="M25" s="45"/>
    </row>
    <row r="26" spans="1:13" ht="13.5" customHeight="1" x14ac:dyDescent="0.2">
      <c r="A26" s="41" t="s">
        <v>86</v>
      </c>
      <c r="B26" s="41"/>
      <c r="C26" s="41"/>
      <c r="D26" s="41"/>
      <c r="E26" s="42">
        <v>231710</v>
      </c>
      <c r="F26" s="43">
        <v>1</v>
      </c>
      <c r="G26" s="43">
        <v>2</v>
      </c>
      <c r="H26" s="44" t="s">
        <v>41</v>
      </c>
      <c r="I26" s="41" t="s">
        <v>42</v>
      </c>
      <c r="J26" s="41"/>
      <c r="M26" s="45"/>
    </row>
    <row r="27" spans="1:13" ht="13.5" customHeight="1" x14ac:dyDescent="0.2">
      <c r="A27" s="41" t="s">
        <v>86</v>
      </c>
      <c r="B27" s="41"/>
      <c r="C27" s="41"/>
      <c r="D27" s="41"/>
      <c r="E27" s="42">
        <v>231710</v>
      </c>
      <c r="F27" s="43">
        <v>2</v>
      </c>
      <c r="G27" s="43">
        <v>4</v>
      </c>
      <c r="H27" s="44" t="s">
        <v>43</v>
      </c>
      <c r="I27" s="41" t="s">
        <v>42</v>
      </c>
      <c r="J27" s="41"/>
      <c r="M27" s="45"/>
    </row>
    <row r="28" spans="1:13" ht="13.5" customHeight="1" x14ac:dyDescent="0.2">
      <c r="A28" s="41" t="s">
        <v>87</v>
      </c>
      <c r="B28" s="41"/>
      <c r="C28" s="41"/>
      <c r="D28" s="41"/>
      <c r="E28" s="42">
        <v>231711</v>
      </c>
      <c r="F28" s="43">
        <v>1</v>
      </c>
      <c r="G28" s="43">
        <v>1</v>
      </c>
      <c r="H28" s="44" t="s">
        <v>88</v>
      </c>
      <c r="I28" s="41" t="s">
        <v>61</v>
      </c>
      <c r="J28" s="41"/>
      <c r="M28" s="45"/>
    </row>
    <row r="29" spans="1:13" ht="13.5" customHeight="1" x14ac:dyDescent="0.2">
      <c r="A29" s="41" t="s">
        <v>89</v>
      </c>
      <c r="B29" s="41"/>
      <c r="C29" s="41"/>
      <c r="D29" s="41"/>
      <c r="E29" s="42">
        <v>231712</v>
      </c>
      <c r="F29" s="43">
        <v>1</v>
      </c>
      <c r="G29" s="43">
        <v>1</v>
      </c>
      <c r="H29" s="44" t="s">
        <v>62</v>
      </c>
      <c r="I29" s="41" t="s">
        <v>60</v>
      </c>
      <c r="J29" s="41"/>
      <c r="M29" s="45"/>
    </row>
    <row r="30" spans="1:13" ht="13.5" customHeight="1" x14ac:dyDescent="0.2">
      <c r="A30" s="41" t="s">
        <v>90</v>
      </c>
      <c r="B30" s="41"/>
      <c r="C30" s="41"/>
      <c r="D30" s="41"/>
      <c r="E30" s="42">
        <v>231714</v>
      </c>
      <c r="F30" s="43">
        <v>1</v>
      </c>
      <c r="G30" s="43">
        <v>1</v>
      </c>
      <c r="H30" s="44" t="s">
        <v>91</v>
      </c>
      <c r="I30" s="41" t="s">
        <v>92</v>
      </c>
      <c r="J30" s="41"/>
      <c r="M30" s="45"/>
    </row>
    <row r="31" spans="1:13" ht="13.5" customHeight="1" x14ac:dyDescent="0.2">
      <c r="A31" s="41" t="s">
        <v>93</v>
      </c>
      <c r="B31" s="41"/>
      <c r="C31" s="41"/>
      <c r="D31" s="41"/>
      <c r="E31" s="42">
        <v>231716</v>
      </c>
      <c r="F31" s="43">
        <v>1</v>
      </c>
      <c r="G31" s="43">
        <v>1</v>
      </c>
      <c r="H31" s="44" t="s">
        <v>57</v>
      </c>
      <c r="I31" s="41" t="s">
        <v>92</v>
      </c>
      <c r="J31" s="41"/>
      <c r="M31" s="45"/>
    </row>
    <row r="32" spans="1:13" ht="13.5" customHeight="1" x14ac:dyDescent="0.2">
      <c r="A32" s="41" t="s">
        <v>93</v>
      </c>
      <c r="B32" s="41"/>
      <c r="C32" s="41"/>
      <c r="D32" s="41"/>
      <c r="E32" s="42">
        <v>231716</v>
      </c>
      <c r="F32" s="43">
        <v>2</v>
      </c>
      <c r="G32" s="43">
        <v>1</v>
      </c>
      <c r="H32" s="44" t="s">
        <v>39</v>
      </c>
      <c r="I32" s="41" t="s">
        <v>92</v>
      </c>
      <c r="J32" s="41"/>
      <c r="M32" s="45"/>
    </row>
    <row r="33" spans="1:13" ht="13.5" customHeight="1" x14ac:dyDescent="0.2">
      <c r="A33" s="41" t="s">
        <v>94</v>
      </c>
      <c r="B33" s="41"/>
      <c r="C33" s="41"/>
      <c r="D33" s="41"/>
      <c r="E33" s="42">
        <v>231717</v>
      </c>
      <c r="F33" s="43">
        <v>1</v>
      </c>
      <c r="G33" s="43">
        <v>1</v>
      </c>
      <c r="H33" s="44" t="s">
        <v>59</v>
      </c>
      <c r="I33" s="41" t="s">
        <v>60</v>
      </c>
      <c r="J33" s="41"/>
      <c r="M33" s="45"/>
    </row>
    <row r="34" spans="1:13" ht="13.5" customHeight="1" x14ac:dyDescent="0.2">
      <c r="A34" s="41" t="s">
        <v>95</v>
      </c>
      <c r="B34" s="41"/>
      <c r="C34" s="41"/>
      <c r="D34" s="41"/>
      <c r="E34" s="42">
        <v>231718</v>
      </c>
      <c r="F34" s="43">
        <v>1</v>
      </c>
      <c r="G34" s="43">
        <v>1</v>
      </c>
      <c r="H34" s="44" t="s">
        <v>63</v>
      </c>
      <c r="I34" s="41" t="s">
        <v>60</v>
      </c>
      <c r="J34" s="41"/>
      <c r="M34" s="45"/>
    </row>
    <row r="35" spans="1:13" ht="13.5" customHeight="1" x14ac:dyDescent="0.2">
      <c r="A35" s="41" t="s">
        <v>96</v>
      </c>
      <c r="B35" s="41"/>
      <c r="C35" s="41"/>
      <c r="D35" s="41"/>
      <c r="E35" s="42">
        <v>231719</v>
      </c>
      <c r="F35" s="43">
        <v>1</v>
      </c>
      <c r="G35" s="43">
        <v>1</v>
      </c>
      <c r="H35" s="44" t="s">
        <v>41</v>
      </c>
      <c r="I35" s="41" t="s">
        <v>60</v>
      </c>
      <c r="J35" s="41"/>
      <c r="M35" s="45"/>
    </row>
    <row r="36" spans="1:13" ht="13.5" customHeight="1" x14ac:dyDescent="0.2">
      <c r="A36" s="41" t="s">
        <v>96</v>
      </c>
      <c r="B36" s="41"/>
      <c r="C36" s="41"/>
      <c r="D36" s="41"/>
      <c r="E36" s="42">
        <v>231719</v>
      </c>
      <c r="F36" s="43">
        <v>2</v>
      </c>
      <c r="G36" s="43">
        <v>1</v>
      </c>
      <c r="H36" s="44" t="s">
        <v>97</v>
      </c>
      <c r="I36" s="41" t="s">
        <v>60</v>
      </c>
      <c r="J36" s="41"/>
      <c r="M36" s="45"/>
    </row>
    <row r="37" spans="1:13" ht="13.5" customHeight="1" x14ac:dyDescent="0.2">
      <c r="A37" s="41" t="s">
        <v>98</v>
      </c>
      <c r="B37" s="41"/>
      <c r="C37" s="41"/>
      <c r="D37" s="41"/>
      <c r="E37" s="42">
        <v>231720</v>
      </c>
      <c r="F37" s="43">
        <v>1</v>
      </c>
      <c r="G37" s="43">
        <v>1</v>
      </c>
      <c r="H37" s="44" t="s">
        <v>41</v>
      </c>
      <c r="I37" s="41" t="s">
        <v>60</v>
      </c>
      <c r="J37" s="41"/>
      <c r="M37" s="45"/>
    </row>
    <row r="38" spans="1:13" ht="13.5" customHeight="1" x14ac:dyDescent="0.2">
      <c r="A38" s="41" t="s">
        <v>99</v>
      </c>
      <c r="B38" s="41"/>
      <c r="C38" s="41"/>
      <c r="D38" s="41"/>
      <c r="E38" s="42">
        <v>231721</v>
      </c>
      <c r="F38" s="43">
        <v>1</v>
      </c>
      <c r="G38" s="43">
        <v>1</v>
      </c>
      <c r="H38" s="44" t="s">
        <v>41</v>
      </c>
      <c r="I38" s="41" t="s">
        <v>42</v>
      </c>
      <c r="J38" s="41"/>
      <c r="M38" s="45"/>
    </row>
    <row r="39" spans="1:13" ht="13.5" customHeight="1" x14ac:dyDescent="0.2">
      <c r="A39" s="41" t="s">
        <v>99</v>
      </c>
      <c r="B39" s="41"/>
      <c r="C39" s="41"/>
      <c r="D39" s="41"/>
      <c r="E39" s="42">
        <v>231721</v>
      </c>
      <c r="F39" s="43">
        <v>2</v>
      </c>
      <c r="G39" s="43">
        <v>2</v>
      </c>
      <c r="H39" s="44" t="s">
        <v>43</v>
      </c>
      <c r="I39" s="41" t="s">
        <v>42</v>
      </c>
      <c r="J39" s="41"/>
      <c r="M39" s="45"/>
    </row>
    <row r="40" spans="1:13" ht="13.5" customHeight="1" x14ac:dyDescent="0.2">
      <c r="A40" s="41" t="s">
        <v>100</v>
      </c>
      <c r="B40" s="41"/>
      <c r="C40" s="41"/>
      <c r="D40" s="41"/>
      <c r="E40" s="42">
        <v>231722</v>
      </c>
      <c r="F40" s="43">
        <v>1</v>
      </c>
      <c r="G40" s="43">
        <v>1</v>
      </c>
      <c r="H40" s="44" t="s">
        <v>44</v>
      </c>
      <c r="I40" s="41" t="s">
        <v>36</v>
      </c>
      <c r="J40" s="41"/>
      <c r="M40" s="45"/>
    </row>
    <row r="41" spans="1:13" ht="13.5" customHeight="1" x14ac:dyDescent="0.2">
      <c r="A41" s="41" t="s">
        <v>101</v>
      </c>
      <c r="B41" s="41"/>
      <c r="C41" s="41"/>
      <c r="D41" s="41"/>
      <c r="E41" s="42">
        <v>231724</v>
      </c>
      <c r="F41" s="43">
        <v>1</v>
      </c>
      <c r="G41" s="43">
        <v>1</v>
      </c>
      <c r="H41" s="44" t="s">
        <v>102</v>
      </c>
      <c r="I41" s="41" t="s">
        <v>92</v>
      </c>
      <c r="J41" s="41"/>
      <c r="M41" s="45"/>
    </row>
    <row r="42" spans="1:13" ht="13.5" customHeight="1" x14ac:dyDescent="0.2">
      <c r="A42" s="41" t="s">
        <v>101</v>
      </c>
      <c r="B42" s="41"/>
      <c r="C42" s="41"/>
      <c r="D42" s="41"/>
      <c r="E42" s="42">
        <v>231724</v>
      </c>
      <c r="F42" s="43">
        <v>2</v>
      </c>
      <c r="G42" s="43">
        <v>1</v>
      </c>
      <c r="H42" s="44" t="s">
        <v>103</v>
      </c>
      <c r="I42" s="41" t="s">
        <v>92</v>
      </c>
      <c r="J42" s="41"/>
      <c r="M42" s="45"/>
    </row>
    <row r="43" spans="1:13" ht="13.5" customHeight="1" x14ac:dyDescent="0.2">
      <c r="A43" s="41" t="s">
        <v>104</v>
      </c>
      <c r="B43" s="41"/>
      <c r="C43" s="41"/>
      <c r="D43" s="41"/>
      <c r="E43" s="42">
        <v>231725</v>
      </c>
      <c r="F43" s="43">
        <v>1</v>
      </c>
      <c r="G43" s="43">
        <v>1</v>
      </c>
      <c r="H43" s="44" t="s">
        <v>105</v>
      </c>
      <c r="I43" s="41" t="s">
        <v>106</v>
      </c>
      <c r="J43" s="41"/>
      <c r="M43" s="45"/>
    </row>
    <row r="44" spans="1:13" ht="13.5" customHeight="1" x14ac:dyDescent="0.2">
      <c r="A44" s="41" t="s">
        <v>104</v>
      </c>
      <c r="B44" s="41"/>
      <c r="C44" s="41"/>
      <c r="D44" s="41"/>
      <c r="E44" s="42">
        <v>231725</v>
      </c>
      <c r="F44" s="43">
        <v>2</v>
      </c>
      <c r="G44" s="43">
        <v>1</v>
      </c>
      <c r="H44" s="44" t="s">
        <v>107</v>
      </c>
      <c r="I44" s="41" t="s">
        <v>106</v>
      </c>
      <c r="J44" s="41"/>
      <c r="M44" s="45"/>
    </row>
    <row r="45" spans="1:13" ht="13.5" customHeight="1" x14ac:dyDescent="0.2">
      <c r="A45" s="41" t="s">
        <v>108</v>
      </c>
      <c r="B45" s="41"/>
      <c r="C45" s="41"/>
      <c r="D45" s="41"/>
      <c r="E45" s="42">
        <v>231726</v>
      </c>
      <c r="F45" s="43">
        <v>1</v>
      </c>
      <c r="G45" s="43">
        <v>1</v>
      </c>
      <c r="H45" s="44" t="s">
        <v>56</v>
      </c>
      <c r="I45" s="41" t="s">
        <v>106</v>
      </c>
      <c r="J45" s="41"/>
      <c r="M45" s="45"/>
    </row>
    <row r="46" spans="1:13" ht="13.5" customHeight="1" x14ac:dyDescent="0.2">
      <c r="A46" s="41" t="s">
        <v>108</v>
      </c>
      <c r="B46" s="41"/>
      <c r="C46" s="41"/>
      <c r="D46" s="41"/>
      <c r="E46" s="42">
        <v>231726</v>
      </c>
      <c r="F46" s="43">
        <v>2</v>
      </c>
      <c r="G46" s="43">
        <v>1</v>
      </c>
      <c r="H46" s="44" t="s">
        <v>109</v>
      </c>
      <c r="I46" s="41" t="s">
        <v>106</v>
      </c>
      <c r="J46" s="41"/>
      <c r="M46" s="45"/>
    </row>
    <row r="47" spans="1:13" ht="13.5" customHeight="1" x14ac:dyDescent="0.2">
      <c r="A47" s="41" t="s">
        <v>108</v>
      </c>
      <c r="B47" s="41"/>
      <c r="C47" s="41"/>
      <c r="D47" s="41"/>
      <c r="E47" s="42">
        <v>231726</v>
      </c>
      <c r="F47" s="43">
        <v>3</v>
      </c>
      <c r="G47" s="43">
        <v>1</v>
      </c>
      <c r="H47" s="44" t="s">
        <v>110</v>
      </c>
      <c r="I47" s="41" t="s">
        <v>106</v>
      </c>
      <c r="J47" s="41"/>
      <c r="M47" s="45"/>
    </row>
    <row r="48" spans="1:13" ht="13.5" customHeight="1" x14ac:dyDescent="0.2">
      <c r="A48" s="41" t="s">
        <v>108</v>
      </c>
      <c r="B48" s="41"/>
      <c r="C48" s="41"/>
      <c r="D48" s="41"/>
      <c r="E48" s="42">
        <v>231726</v>
      </c>
      <c r="F48" s="43">
        <v>4</v>
      </c>
      <c r="G48" s="43">
        <v>1</v>
      </c>
      <c r="H48" s="44" t="s">
        <v>111</v>
      </c>
      <c r="I48" s="41" t="s">
        <v>106</v>
      </c>
      <c r="J48" s="41"/>
      <c r="M48" s="45"/>
    </row>
    <row r="49" spans="1:14" ht="13.5" customHeight="1" x14ac:dyDescent="0.2">
      <c r="A49" s="41" t="s">
        <v>112</v>
      </c>
      <c r="B49" s="41"/>
      <c r="C49" s="41"/>
      <c r="D49" s="41"/>
      <c r="E49" s="42">
        <v>231727</v>
      </c>
      <c r="F49" s="43">
        <v>1</v>
      </c>
      <c r="G49" s="43">
        <v>1</v>
      </c>
      <c r="H49" s="44" t="s">
        <v>102</v>
      </c>
      <c r="I49" s="41" t="s">
        <v>92</v>
      </c>
      <c r="J49" s="41"/>
      <c r="M49" s="45"/>
    </row>
    <row r="50" spans="1:14" ht="13.5" customHeight="1" x14ac:dyDescent="0.2">
      <c r="A50" s="41" t="s">
        <v>113</v>
      </c>
      <c r="B50" s="41"/>
      <c r="C50" s="41"/>
      <c r="D50" s="41"/>
      <c r="E50" s="42">
        <v>231730</v>
      </c>
      <c r="F50" s="43">
        <v>1</v>
      </c>
      <c r="G50" s="43">
        <v>1</v>
      </c>
      <c r="H50" s="44" t="s">
        <v>114</v>
      </c>
      <c r="I50" s="41" t="s">
        <v>45</v>
      </c>
      <c r="J50" s="41"/>
      <c r="M50" s="45"/>
    </row>
    <row r="51" spans="1:14" ht="13.5" customHeight="1" x14ac:dyDescent="0.2">
      <c r="A51" s="41" t="s">
        <v>115</v>
      </c>
      <c r="B51" s="41"/>
      <c r="C51" s="41"/>
      <c r="D51" s="41"/>
      <c r="E51" s="42">
        <v>231731</v>
      </c>
      <c r="F51" s="43">
        <v>1</v>
      </c>
      <c r="G51" s="43">
        <v>1</v>
      </c>
      <c r="H51" s="44" t="s">
        <v>107</v>
      </c>
      <c r="I51" s="41" t="s">
        <v>106</v>
      </c>
      <c r="J51" s="41"/>
      <c r="M51" s="45"/>
    </row>
    <row r="52" spans="1:14" ht="13.5" customHeight="1" x14ac:dyDescent="0.2">
      <c r="A52" s="41" t="s">
        <v>116</v>
      </c>
      <c r="B52" s="41"/>
      <c r="C52" s="41"/>
      <c r="D52" s="41"/>
      <c r="E52" s="42">
        <v>231732</v>
      </c>
      <c r="F52" s="43">
        <v>1</v>
      </c>
      <c r="G52" s="43">
        <v>1</v>
      </c>
      <c r="H52" s="44" t="s">
        <v>77</v>
      </c>
      <c r="I52" s="41" t="s">
        <v>106</v>
      </c>
      <c r="J52" s="41"/>
      <c r="M52" s="45"/>
    </row>
    <row r="53" spans="1:14" ht="13.5" customHeight="1" x14ac:dyDescent="0.2">
      <c r="A53" s="41" t="s">
        <v>117</v>
      </c>
      <c r="B53" s="41"/>
      <c r="C53" s="41"/>
      <c r="D53" s="41"/>
      <c r="E53" s="42">
        <v>231733</v>
      </c>
      <c r="F53" s="43">
        <v>1</v>
      </c>
      <c r="G53" s="43">
        <v>1</v>
      </c>
      <c r="H53" s="44" t="s">
        <v>77</v>
      </c>
      <c r="I53" s="41" t="s">
        <v>106</v>
      </c>
      <c r="J53" s="41"/>
      <c r="M53" s="45"/>
    </row>
    <row r="54" spans="1:14" ht="13.5" customHeight="1" x14ac:dyDescent="0.2">
      <c r="A54" s="41" t="s">
        <v>118</v>
      </c>
      <c r="B54" s="41"/>
      <c r="C54" s="41"/>
      <c r="D54" s="41"/>
      <c r="E54" s="42">
        <v>231734</v>
      </c>
      <c r="F54" s="43">
        <v>1</v>
      </c>
      <c r="G54" s="43">
        <v>1</v>
      </c>
      <c r="H54" s="44" t="s">
        <v>119</v>
      </c>
      <c r="I54" s="41" t="s">
        <v>106</v>
      </c>
      <c r="J54" s="41"/>
      <c r="M54" s="45"/>
    </row>
    <row r="55" spans="1:14" ht="13.5" customHeight="1" x14ac:dyDescent="0.2">
      <c r="A55" s="41" t="s">
        <v>120</v>
      </c>
      <c r="B55" s="41"/>
      <c r="C55" s="41"/>
      <c r="D55" s="41"/>
      <c r="E55" s="42">
        <v>231735</v>
      </c>
      <c r="F55" s="43">
        <v>1</v>
      </c>
      <c r="G55" s="43">
        <v>1</v>
      </c>
      <c r="H55" s="44" t="s">
        <v>109</v>
      </c>
      <c r="I55" s="41" t="s">
        <v>106</v>
      </c>
      <c r="J55" s="41"/>
      <c r="M55" s="45"/>
    </row>
    <row r="56" spans="1:14" ht="13.5" customHeight="1" x14ac:dyDescent="0.2">
      <c r="A56" s="41" t="s">
        <v>121</v>
      </c>
      <c r="B56" s="41"/>
      <c r="C56" s="41"/>
      <c r="D56" s="41"/>
      <c r="E56" s="42">
        <v>231736</v>
      </c>
      <c r="F56" s="43">
        <v>1</v>
      </c>
      <c r="G56" s="43">
        <v>1</v>
      </c>
      <c r="H56" s="44" t="s">
        <v>109</v>
      </c>
      <c r="I56" s="41" t="s">
        <v>106</v>
      </c>
      <c r="J56" s="41"/>
      <c r="M56" s="45"/>
    </row>
    <row r="57" spans="1:14" ht="13.5" customHeight="1" x14ac:dyDescent="0.2">
      <c r="A57" s="41" t="s">
        <v>122</v>
      </c>
      <c r="B57" s="41"/>
      <c r="C57" s="41"/>
      <c r="D57" s="41"/>
      <c r="E57" s="42">
        <v>231737</v>
      </c>
      <c r="F57" s="43">
        <v>1</v>
      </c>
      <c r="G57" s="43">
        <v>1</v>
      </c>
      <c r="H57" s="44" t="s">
        <v>123</v>
      </c>
      <c r="I57" s="41" t="s">
        <v>60</v>
      </c>
      <c r="J57" s="41"/>
      <c r="M57" s="45"/>
    </row>
    <row r="58" spans="1:14" ht="13.5" customHeight="1" x14ac:dyDescent="0.2">
      <c r="A58" s="41" t="s">
        <v>124</v>
      </c>
      <c r="B58" s="41"/>
      <c r="C58" s="41"/>
      <c r="D58" s="41"/>
      <c r="E58" s="42">
        <v>231738</v>
      </c>
      <c r="F58" s="43">
        <v>1</v>
      </c>
      <c r="G58" s="43">
        <v>1</v>
      </c>
      <c r="H58" s="44" t="s">
        <v>105</v>
      </c>
      <c r="I58" s="41" t="s">
        <v>106</v>
      </c>
      <c r="J58" s="41"/>
      <c r="M58" s="45"/>
    </row>
    <row r="59" spans="1:14" ht="13.5" customHeight="1" x14ac:dyDescent="0.2">
      <c r="A59" s="61" t="s">
        <v>125</v>
      </c>
      <c r="B59" s="61"/>
      <c r="C59" s="61"/>
      <c r="D59" s="61"/>
      <c r="E59" s="42">
        <v>231739</v>
      </c>
      <c r="F59" s="43">
        <v>1</v>
      </c>
      <c r="G59" s="43">
        <v>1</v>
      </c>
      <c r="H59" s="44" t="s">
        <v>58</v>
      </c>
      <c r="I59" s="61" t="s">
        <v>126</v>
      </c>
      <c r="J59" s="61"/>
      <c r="M59" s="45"/>
    </row>
    <row r="60" spans="1:14" ht="13.5" customHeight="1" x14ac:dyDescent="0.2">
      <c r="A60" s="62" t="s">
        <v>75</v>
      </c>
      <c r="B60" s="63"/>
      <c r="C60" s="63"/>
      <c r="D60" s="64"/>
      <c r="E60" s="56">
        <v>231680</v>
      </c>
      <c r="F60" s="57">
        <v>1</v>
      </c>
      <c r="G60" s="57">
        <v>1</v>
      </c>
      <c r="H60" s="58" t="s">
        <v>40</v>
      </c>
      <c r="I60" s="65" t="s">
        <v>37</v>
      </c>
      <c r="J60" s="64"/>
      <c r="K60" s="59"/>
      <c r="L60" s="60" t="s">
        <v>54</v>
      </c>
      <c r="M60" s="45"/>
      <c r="N60" s="55"/>
    </row>
    <row r="61" spans="1:14" ht="13.5" customHeight="1" x14ac:dyDescent="0.2">
      <c r="A61" s="62" t="s">
        <v>76</v>
      </c>
      <c r="B61" s="63"/>
      <c r="C61" s="63"/>
      <c r="D61" s="64"/>
      <c r="E61" s="56">
        <v>231681</v>
      </c>
      <c r="F61" s="57">
        <v>1</v>
      </c>
      <c r="G61" s="57">
        <v>1</v>
      </c>
      <c r="H61" s="58" t="s">
        <v>77</v>
      </c>
      <c r="I61" s="65" t="s">
        <v>78</v>
      </c>
      <c r="J61" s="64"/>
      <c r="K61" s="59"/>
      <c r="L61" s="60" t="s">
        <v>54</v>
      </c>
      <c r="M61" s="45"/>
      <c r="N61" s="55"/>
    </row>
    <row r="62" spans="1:14" ht="13.5" customHeight="1" x14ac:dyDescent="0.2">
      <c r="A62" s="62" t="s">
        <v>76</v>
      </c>
      <c r="B62" s="63"/>
      <c r="C62" s="63"/>
      <c r="D62" s="64"/>
      <c r="E62" s="56">
        <v>231681</v>
      </c>
      <c r="F62" s="57">
        <v>2</v>
      </c>
      <c r="G62" s="57">
        <v>1</v>
      </c>
      <c r="H62" s="58" t="s">
        <v>79</v>
      </c>
      <c r="I62" s="65" t="s">
        <v>78</v>
      </c>
      <c r="J62" s="64"/>
      <c r="K62" s="59"/>
      <c r="L62" s="60" t="s">
        <v>54</v>
      </c>
      <c r="M62" s="45"/>
      <c r="N62" s="55"/>
    </row>
    <row r="63" spans="1:14" ht="13.5" customHeight="1" x14ac:dyDescent="0.2">
      <c r="A63" s="62" t="s">
        <v>76</v>
      </c>
      <c r="B63" s="63"/>
      <c r="C63" s="63"/>
      <c r="D63" s="64"/>
      <c r="E63" s="56">
        <v>231681</v>
      </c>
      <c r="F63" s="57">
        <v>3</v>
      </c>
      <c r="G63" s="57">
        <v>1</v>
      </c>
      <c r="H63" s="58" t="s">
        <v>77</v>
      </c>
      <c r="I63" s="65" t="s">
        <v>78</v>
      </c>
      <c r="J63" s="64"/>
      <c r="K63" s="59"/>
      <c r="L63" s="60" t="s">
        <v>54</v>
      </c>
      <c r="M63" s="45"/>
      <c r="N63" s="55"/>
    </row>
    <row r="64" spans="1:14" ht="13.5" customHeight="1" x14ac:dyDescent="0.2">
      <c r="A64" s="62" t="s">
        <v>113</v>
      </c>
      <c r="B64" s="63"/>
      <c r="C64" s="63"/>
      <c r="D64" s="64"/>
      <c r="E64" s="56">
        <v>231730</v>
      </c>
      <c r="F64" s="57">
        <v>1</v>
      </c>
      <c r="G64" s="57">
        <v>1</v>
      </c>
      <c r="H64" s="58" t="s">
        <v>114</v>
      </c>
      <c r="I64" s="65" t="s">
        <v>45</v>
      </c>
      <c r="J64" s="64"/>
      <c r="K64" s="59"/>
      <c r="L64" s="60" t="s">
        <v>54</v>
      </c>
      <c r="M64" s="45"/>
      <c r="N64" s="55"/>
    </row>
    <row r="65" spans="1:14" ht="13.5" customHeight="1" x14ac:dyDescent="0.2">
      <c r="A65" s="62" t="s">
        <v>115</v>
      </c>
      <c r="B65" s="63"/>
      <c r="C65" s="63"/>
      <c r="D65" s="64"/>
      <c r="E65" s="56">
        <v>231731</v>
      </c>
      <c r="F65" s="57">
        <v>1</v>
      </c>
      <c r="G65" s="57">
        <v>1</v>
      </c>
      <c r="H65" s="58" t="s">
        <v>107</v>
      </c>
      <c r="I65" s="65" t="s">
        <v>106</v>
      </c>
      <c r="J65" s="64"/>
      <c r="K65" s="59"/>
      <c r="L65" s="60" t="s">
        <v>54</v>
      </c>
      <c r="M65" s="45"/>
      <c r="N65" s="55"/>
    </row>
    <row r="66" spans="1:14" ht="13.5" customHeight="1" x14ac:dyDescent="0.2">
      <c r="A66" s="62" t="s">
        <v>116</v>
      </c>
      <c r="B66" s="63"/>
      <c r="C66" s="63"/>
      <c r="D66" s="64"/>
      <c r="E66" s="56">
        <v>231732</v>
      </c>
      <c r="F66" s="57">
        <v>1</v>
      </c>
      <c r="G66" s="57">
        <v>1</v>
      </c>
      <c r="H66" s="58" t="s">
        <v>77</v>
      </c>
      <c r="I66" s="65" t="s">
        <v>106</v>
      </c>
      <c r="J66" s="64"/>
      <c r="K66" s="59"/>
      <c r="L66" s="60" t="s">
        <v>54</v>
      </c>
      <c r="M66" s="45"/>
      <c r="N66" s="55"/>
    </row>
    <row r="67" spans="1:14" ht="13.5" customHeight="1" x14ac:dyDescent="0.2">
      <c r="A67" s="62" t="s">
        <v>117</v>
      </c>
      <c r="B67" s="63"/>
      <c r="C67" s="63"/>
      <c r="D67" s="64"/>
      <c r="E67" s="56">
        <v>231733</v>
      </c>
      <c r="F67" s="57">
        <v>1</v>
      </c>
      <c r="G67" s="57">
        <v>1</v>
      </c>
      <c r="H67" s="58" t="s">
        <v>77</v>
      </c>
      <c r="I67" s="65" t="s">
        <v>106</v>
      </c>
      <c r="J67" s="64"/>
      <c r="K67" s="59"/>
      <c r="L67" s="60" t="s">
        <v>54</v>
      </c>
      <c r="M67" s="45"/>
      <c r="N67" s="55"/>
    </row>
    <row r="68" spans="1:14" ht="13.5" customHeight="1" x14ac:dyDescent="0.2">
      <c r="A68" s="62" t="s">
        <v>118</v>
      </c>
      <c r="B68" s="63"/>
      <c r="C68" s="63"/>
      <c r="D68" s="64"/>
      <c r="E68" s="56">
        <v>231734</v>
      </c>
      <c r="F68" s="57">
        <v>1</v>
      </c>
      <c r="G68" s="57">
        <v>1</v>
      </c>
      <c r="H68" s="58" t="s">
        <v>119</v>
      </c>
      <c r="I68" s="65" t="s">
        <v>106</v>
      </c>
      <c r="J68" s="64"/>
      <c r="K68" s="59"/>
      <c r="L68" s="60" t="s">
        <v>54</v>
      </c>
      <c r="M68" s="45"/>
      <c r="N68" s="55"/>
    </row>
    <row r="69" spans="1:14" ht="13.5" customHeight="1" x14ac:dyDescent="0.2">
      <c r="A69" s="62" t="s">
        <v>120</v>
      </c>
      <c r="B69" s="63"/>
      <c r="C69" s="63"/>
      <c r="D69" s="64"/>
      <c r="E69" s="56">
        <v>231735</v>
      </c>
      <c r="F69" s="57">
        <v>1</v>
      </c>
      <c r="G69" s="57">
        <v>1</v>
      </c>
      <c r="H69" s="58" t="s">
        <v>109</v>
      </c>
      <c r="I69" s="65" t="s">
        <v>106</v>
      </c>
      <c r="J69" s="64"/>
      <c r="K69" s="59"/>
      <c r="L69" s="60" t="s">
        <v>54</v>
      </c>
      <c r="M69" s="45"/>
      <c r="N69" s="55"/>
    </row>
    <row r="70" spans="1:14" ht="13.5" customHeight="1" x14ac:dyDescent="0.2">
      <c r="A70" s="62" t="s">
        <v>121</v>
      </c>
      <c r="B70" s="63"/>
      <c r="C70" s="63"/>
      <c r="D70" s="64"/>
      <c r="E70" s="56">
        <v>231736</v>
      </c>
      <c r="F70" s="57">
        <v>1</v>
      </c>
      <c r="G70" s="57">
        <v>1</v>
      </c>
      <c r="H70" s="58" t="s">
        <v>109</v>
      </c>
      <c r="I70" s="65" t="s">
        <v>106</v>
      </c>
      <c r="J70" s="64"/>
      <c r="K70" s="59"/>
      <c r="L70" s="60" t="s">
        <v>54</v>
      </c>
      <c r="M70" s="45"/>
      <c r="N70" s="55"/>
    </row>
    <row r="71" spans="1:14" ht="13.5" customHeight="1" x14ac:dyDescent="0.2">
      <c r="A71" s="62" t="s">
        <v>122</v>
      </c>
      <c r="B71" s="63"/>
      <c r="C71" s="63"/>
      <c r="D71" s="64"/>
      <c r="E71" s="56">
        <v>231737</v>
      </c>
      <c r="F71" s="57">
        <v>1</v>
      </c>
      <c r="G71" s="57">
        <v>1</v>
      </c>
      <c r="H71" s="58" t="s">
        <v>123</v>
      </c>
      <c r="I71" s="65" t="s">
        <v>60</v>
      </c>
      <c r="J71" s="64"/>
      <c r="K71" s="59"/>
      <c r="L71" s="60" t="s">
        <v>54</v>
      </c>
      <c r="M71" s="45"/>
      <c r="N71" s="55"/>
    </row>
    <row r="72" spans="1:14" ht="13.5" customHeight="1" x14ac:dyDescent="0.2">
      <c r="A72" s="66" t="s">
        <v>8</v>
      </c>
      <c r="B72" s="66"/>
      <c r="C72" s="66"/>
      <c r="D72" s="66"/>
      <c r="I72" s="67"/>
      <c r="J72" s="67"/>
    </row>
    <row r="73" spans="1:14" ht="13.5" customHeight="1" x14ac:dyDescent="0.2">
      <c r="A73" s="41" t="s">
        <v>127</v>
      </c>
      <c r="B73" s="41"/>
      <c r="C73" s="41"/>
      <c r="D73" s="41"/>
      <c r="E73" s="42">
        <v>231589</v>
      </c>
      <c r="F73" s="43">
        <v>1</v>
      </c>
      <c r="G73" s="43">
        <v>1</v>
      </c>
      <c r="H73" s="44" t="s">
        <v>128</v>
      </c>
      <c r="I73" s="41" t="s">
        <v>126</v>
      </c>
      <c r="J73" s="41"/>
      <c r="M73" s="45"/>
    </row>
    <row r="74" spans="1:14" ht="13.5" customHeight="1" x14ac:dyDescent="0.2">
      <c r="A74" s="41" t="s">
        <v>127</v>
      </c>
      <c r="B74" s="41"/>
      <c r="C74" s="41"/>
      <c r="D74" s="41"/>
      <c r="E74" s="42">
        <v>231589</v>
      </c>
      <c r="F74" s="43">
        <v>2</v>
      </c>
      <c r="G74" s="43">
        <v>1</v>
      </c>
      <c r="H74" s="44" t="s">
        <v>129</v>
      </c>
      <c r="I74" s="41" t="s">
        <v>126</v>
      </c>
      <c r="J74" s="41"/>
      <c r="M74" s="45"/>
    </row>
    <row r="75" spans="1:14" ht="13.5" customHeight="1" x14ac:dyDescent="0.2">
      <c r="A75" s="41" t="s">
        <v>127</v>
      </c>
      <c r="B75" s="41"/>
      <c r="C75" s="41"/>
      <c r="D75" s="41"/>
      <c r="E75" s="42">
        <v>231589</v>
      </c>
      <c r="F75" s="43">
        <v>3</v>
      </c>
      <c r="G75" s="43">
        <v>1</v>
      </c>
      <c r="H75" s="44" t="s">
        <v>130</v>
      </c>
      <c r="I75" s="41" t="s">
        <v>126</v>
      </c>
      <c r="J75" s="41"/>
      <c r="M75" s="45"/>
    </row>
    <row r="76" spans="1:14" ht="13.5" customHeight="1" x14ac:dyDescent="0.2">
      <c r="A76" s="41" t="s">
        <v>131</v>
      </c>
      <c r="B76" s="41"/>
      <c r="C76" s="41"/>
      <c r="D76" s="41"/>
      <c r="E76" s="42">
        <v>231590</v>
      </c>
      <c r="F76" s="43">
        <v>1</v>
      </c>
      <c r="G76" s="43">
        <v>1</v>
      </c>
      <c r="H76" s="44" t="s">
        <v>132</v>
      </c>
      <c r="I76" s="41" t="s">
        <v>133</v>
      </c>
      <c r="J76" s="41"/>
      <c r="M76" s="45"/>
    </row>
    <row r="77" spans="1:14" ht="13.5" customHeight="1" x14ac:dyDescent="0.2">
      <c r="A77" s="41" t="s">
        <v>131</v>
      </c>
      <c r="B77" s="41"/>
      <c r="C77" s="41"/>
      <c r="D77" s="41"/>
      <c r="E77" s="42">
        <v>231590</v>
      </c>
      <c r="F77" s="43">
        <v>2</v>
      </c>
      <c r="G77" s="43">
        <v>1</v>
      </c>
      <c r="H77" s="44" t="s">
        <v>134</v>
      </c>
      <c r="I77" s="41" t="s">
        <v>133</v>
      </c>
      <c r="J77" s="41"/>
      <c r="M77" s="45"/>
    </row>
    <row r="78" spans="1:14" ht="13.5" customHeight="1" x14ac:dyDescent="0.2">
      <c r="A78" s="41" t="s">
        <v>135</v>
      </c>
      <c r="B78" s="41"/>
      <c r="C78" s="41"/>
      <c r="D78" s="41"/>
      <c r="E78" s="42">
        <v>231591</v>
      </c>
      <c r="F78" s="43">
        <v>1</v>
      </c>
      <c r="G78" s="43">
        <v>1</v>
      </c>
      <c r="H78" s="44" t="s">
        <v>136</v>
      </c>
      <c r="I78" s="41" t="s">
        <v>133</v>
      </c>
      <c r="J78" s="41"/>
      <c r="M78" s="45"/>
    </row>
    <row r="79" spans="1:14" ht="13.5" customHeight="1" x14ac:dyDescent="0.2">
      <c r="A79" s="41" t="s">
        <v>135</v>
      </c>
      <c r="B79" s="41"/>
      <c r="C79" s="41"/>
      <c r="D79" s="41"/>
      <c r="E79" s="42">
        <v>231591</v>
      </c>
      <c r="F79" s="43">
        <v>2</v>
      </c>
      <c r="G79" s="43">
        <v>1</v>
      </c>
      <c r="H79" s="44" t="s">
        <v>137</v>
      </c>
      <c r="I79" s="41" t="s">
        <v>133</v>
      </c>
      <c r="J79" s="41"/>
      <c r="M79" s="45"/>
    </row>
    <row r="80" spans="1:14" ht="13.5" customHeight="1" x14ac:dyDescent="0.2">
      <c r="A80" s="41" t="s">
        <v>138</v>
      </c>
      <c r="B80" s="41"/>
      <c r="C80" s="41"/>
      <c r="D80" s="41"/>
      <c r="E80" s="42">
        <v>231592</v>
      </c>
      <c r="F80" s="43">
        <v>1</v>
      </c>
      <c r="G80" s="43">
        <v>1</v>
      </c>
      <c r="H80" s="44" t="s">
        <v>139</v>
      </c>
      <c r="I80" s="41" t="s">
        <v>140</v>
      </c>
      <c r="J80" s="41"/>
      <c r="M80" s="45"/>
    </row>
    <row r="81" spans="1:13" ht="13.5" customHeight="1" x14ac:dyDescent="0.2">
      <c r="A81" s="41" t="s">
        <v>138</v>
      </c>
      <c r="B81" s="41"/>
      <c r="C81" s="41"/>
      <c r="D81" s="41"/>
      <c r="E81" s="42">
        <v>231592</v>
      </c>
      <c r="F81" s="43">
        <v>2</v>
      </c>
      <c r="G81" s="43">
        <v>1</v>
      </c>
      <c r="H81" s="44" t="s">
        <v>141</v>
      </c>
      <c r="I81" s="41" t="s">
        <v>140</v>
      </c>
      <c r="J81" s="41"/>
      <c r="M81" s="45"/>
    </row>
    <row r="82" spans="1:13" ht="13.5" customHeight="1" x14ac:dyDescent="0.2">
      <c r="A82" s="41" t="s">
        <v>138</v>
      </c>
      <c r="B82" s="41"/>
      <c r="C82" s="41"/>
      <c r="D82" s="41"/>
      <c r="E82" s="42">
        <v>231592</v>
      </c>
      <c r="F82" s="43">
        <v>3</v>
      </c>
      <c r="G82" s="43">
        <v>1</v>
      </c>
      <c r="H82" s="44" t="s">
        <v>142</v>
      </c>
      <c r="I82" s="41" t="s">
        <v>140</v>
      </c>
      <c r="J82" s="41"/>
      <c r="M82" s="45"/>
    </row>
    <row r="83" spans="1:13" ht="13.5" customHeight="1" x14ac:dyDescent="0.2">
      <c r="A83" s="41" t="s">
        <v>143</v>
      </c>
      <c r="B83" s="41"/>
      <c r="C83" s="41"/>
      <c r="D83" s="41"/>
      <c r="E83" s="42">
        <v>231593</v>
      </c>
      <c r="F83" s="43">
        <v>1</v>
      </c>
      <c r="G83" s="43">
        <v>1</v>
      </c>
      <c r="H83" s="44" t="s">
        <v>144</v>
      </c>
      <c r="I83" s="41" t="s">
        <v>140</v>
      </c>
      <c r="J83" s="41"/>
      <c r="M83" s="45"/>
    </row>
    <row r="84" spans="1:13" ht="13.5" customHeight="1" x14ac:dyDescent="0.2">
      <c r="A84" s="41" t="s">
        <v>143</v>
      </c>
      <c r="B84" s="41"/>
      <c r="C84" s="41"/>
      <c r="D84" s="41"/>
      <c r="E84" s="42">
        <v>231593</v>
      </c>
      <c r="F84" s="43">
        <v>2</v>
      </c>
      <c r="G84" s="43">
        <v>1</v>
      </c>
      <c r="H84" s="44" t="s">
        <v>46</v>
      </c>
      <c r="I84" s="41" t="s">
        <v>140</v>
      </c>
      <c r="J84" s="41"/>
      <c r="M84" s="45"/>
    </row>
    <row r="85" spans="1:13" ht="13.5" customHeight="1" x14ac:dyDescent="0.2">
      <c r="A85" s="41" t="s">
        <v>145</v>
      </c>
      <c r="B85" s="41"/>
      <c r="C85" s="41"/>
      <c r="D85" s="41"/>
      <c r="E85" s="42">
        <v>231594</v>
      </c>
      <c r="F85" s="43">
        <v>1</v>
      </c>
      <c r="G85" s="43">
        <v>1</v>
      </c>
      <c r="H85" s="44" t="s">
        <v>146</v>
      </c>
      <c r="I85" s="41" t="s">
        <v>147</v>
      </c>
      <c r="J85" s="41"/>
      <c r="M85" s="45"/>
    </row>
    <row r="86" spans="1:13" ht="13.5" customHeight="1" x14ac:dyDescent="0.2">
      <c r="A86" s="41" t="s">
        <v>145</v>
      </c>
      <c r="B86" s="41"/>
      <c r="C86" s="41"/>
      <c r="D86" s="41"/>
      <c r="E86" s="42">
        <v>231594</v>
      </c>
      <c r="F86" s="43">
        <v>2</v>
      </c>
      <c r="G86" s="43">
        <v>1</v>
      </c>
      <c r="H86" s="44" t="s">
        <v>148</v>
      </c>
      <c r="I86" s="41" t="s">
        <v>147</v>
      </c>
      <c r="J86" s="41"/>
      <c r="M86" s="45"/>
    </row>
    <row r="87" spans="1:13" ht="13.5" customHeight="1" x14ac:dyDescent="0.2">
      <c r="A87" s="41" t="s">
        <v>149</v>
      </c>
      <c r="B87" s="41"/>
      <c r="C87" s="41"/>
      <c r="D87" s="41"/>
      <c r="E87" s="42">
        <v>231595</v>
      </c>
      <c r="F87" s="43">
        <v>1</v>
      </c>
      <c r="G87" s="43">
        <v>1</v>
      </c>
      <c r="H87" s="44" t="s">
        <v>150</v>
      </c>
      <c r="I87" s="41" t="s">
        <v>147</v>
      </c>
      <c r="J87" s="41"/>
      <c r="M87" s="45"/>
    </row>
    <row r="88" spans="1:13" ht="13.5" customHeight="1" x14ac:dyDescent="0.2">
      <c r="A88" s="41" t="s">
        <v>149</v>
      </c>
      <c r="B88" s="41"/>
      <c r="C88" s="41"/>
      <c r="D88" s="41"/>
      <c r="E88" s="42">
        <v>231595</v>
      </c>
      <c r="F88" s="43">
        <v>2</v>
      </c>
      <c r="G88" s="43">
        <v>1</v>
      </c>
      <c r="H88" s="44" t="s">
        <v>128</v>
      </c>
      <c r="I88" s="41" t="s">
        <v>147</v>
      </c>
      <c r="J88" s="41"/>
      <c r="M88" s="45"/>
    </row>
    <row r="89" spans="1:13" ht="13.5" customHeight="1" x14ac:dyDescent="0.2">
      <c r="A89" s="41" t="s">
        <v>151</v>
      </c>
      <c r="B89" s="41"/>
      <c r="C89" s="41"/>
      <c r="D89" s="41"/>
      <c r="E89" s="42">
        <v>231596</v>
      </c>
      <c r="F89" s="43">
        <v>1</v>
      </c>
      <c r="G89" s="43">
        <v>1</v>
      </c>
      <c r="H89" s="44" t="s">
        <v>46</v>
      </c>
      <c r="I89" s="41" t="s">
        <v>68</v>
      </c>
      <c r="J89" s="41"/>
      <c r="M89" s="45"/>
    </row>
    <row r="90" spans="1:13" ht="13.5" customHeight="1" x14ac:dyDescent="0.2">
      <c r="A90" s="41" t="s">
        <v>151</v>
      </c>
      <c r="B90" s="41"/>
      <c r="C90" s="41"/>
      <c r="D90" s="41"/>
      <c r="E90" s="42">
        <v>231596</v>
      </c>
      <c r="F90" s="43">
        <v>2</v>
      </c>
      <c r="G90" s="43">
        <v>1</v>
      </c>
      <c r="H90" s="44" t="s">
        <v>152</v>
      </c>
      <c r="I90" s="41" t="s">
        <v>68</v>
      </c>
      <c r="J90" s="41"/>
      <c r="M90" s="45"/>
    </row>
    <row r="91" spans="1:13" ht="13.5" customHeight="1" x14ac:dyDescent="0.2">
      <c r="A91" s="41" t="s">
        <v>151</v>
      </c>
      <c r="B91" s="41"/>
      <c r="C91" s="41"/>
      <c r="D91" s="41"/>
      <c r="E91" s="42">
        <v>231596</v>
      </c>
      <c r="F91" s="43">
        <v>3</v>
      </c>
      <c r="G91" s="43">
        <v>1</v>
      </c>
      <c r="H91" s="44" t="s">
        <v>153</v>
      </c>
      <c r="I91" s="41" t="s">
        <v>68</v>
      </c>
      <c r="J91" s="41"/>
      <c r="M91" s="45"/>
    </row>
    <row r="92" spans="1:13" ht="13.5" customHeight="1" x14ac:dyDescent="0.2">
      <c r="A92" s="41" t="s">
        <v>66</v>
      </c>
      <c r="B92" s="41"/>
      <c r="C92" s="41"/>
      <c r="D92" s="41"/>
      <c r="E92" s="42">
        <v>231597</v>
      </c>
      <c r="F92" s="43">
        <v>1</v>
      </c>
      <c r="G92" s="43">
        <v>1</v>
      </c>
      <c r="H92" s="44" t="s">
        <v>154</v>
      </c>
      <c r="I92" s="41" t="s">
        <v>68</v>
      </c>
      <c r="J92" s="41"/>
      <c r="M92" s="45"/>
    </row>
    <row r="93" spans="1:13" ht="13.5" customHeight="1" x14ac:dyDescent="0.2">
      <c r="A93" s="41" t="s">
        <v>66</v>
      </c>
      <c r="B93" s="41"/>
      <c r="C93" s="41"/>
      <c r="D93" s="41"/>
      <c r="E93" s="42">
        <v>231597</v>
      </c>
      <c r="F93" s="43">
        <v>2</v>
      </c>
      <c r="G93" s="43">
        <v>1</v>
      </c>
      <c r="H93" s="44" t="s">
        <v>128</v>
      </c>
      <c r="I93" s="41" t="s">
        <v>68</v>
      </c>
      <c r="J93" s="41"/>
      <c r="M93" s="45"/>
    </row>
    <row r="94" spans="1:13" ht="13.5" customHeight="1" x14ac:dyDescent="0.2">
      <c r="A94" s="41" t="s">
        <v>155</v>
      </c>
      <c r="B94" s="41"/>
      <c r="C94" s="41"/>
      <c r="D94" s="41"/>
      <c r="E94" s="42">
        <v>231742</v>
      </c>
      <c r="F94" s="43">
        <v>2</v>
      </c>
      <c r="G94" s="43">
        <v>1</v>
      </c>
      <c r="H94" s="44" t="s">
        <v>156</v>
      </c>
      <c r="I94" s="41" t="s">
        <v>157</v>
      </c>
      <c r="J94" s="41"/>
      <c r="M94" s="45"/>
    </row>
    <row r="95" spans="1:13" ht="13.5" customHeight="1" x14ac:dyDescent="0.2">
      <c r="A95" s="41" t="s">
        <v>158</v>
      </c>
      <c r="B95" s="41"/>
      <c r="C95" s="41"/>
      <c r="D95" s="41"/>
      <c r="E95" s="42">
        <v>231743</v>
      </c>
      <c r="F95" s="43">
        <v>2</v>
      </c>
      <c r="G95" s="43">
        <v>1</v>
      </c>
      <c r="H95" s="44" t="s">
        <v>159</v>
      </c>
      <c r="I95" s="41" t="s">
        <v>160</v>
      </c>
      <c r="J95" s="41"/>
      <c r="M95" s="45"/>
    </row>
    <row r="96" spans="1:13" ht="13.5" customHeight="1" x14ac:dyDescent="0.2">
      <c r="A96" s="61" t="s">
        <v>158</v>
      </c>
      <c r="B96" s="61"/>
      <c r="C96" s="61"/>
      <c r="D96" s="61"/>
      <c r="E96" s="42">
        <v>231743</v>
      </c>
      <c r="F96" s="43">
        <v>3</v>
      </c>
      <c r="G96" s="43">
        <v>1</v>
      </c>
      <c r="H96" s="44" t="s">
        <v>161</v>
      </c>
      <c r="I96" s="61" t="s">
        <v>160</v>
      </c>
      <c r="J96" s="61"/>
      <c r="M96" s="45"/>
    </row>
    <row r="97" spans="1:14" ht="13.5" customHeight="1" x14ac:dyDescent="0.2">
      <c r="A97" s="62" t="s">
        <v>155</v>
      </c>
      <c r="B97" s="63"/>
      <c r="C97" s="63"/>
      <c r="D97" s="64"/>
      <c r="E97" s="56">
        <v>231742</v>
      </c>
      <c r="F97" s="57">
        <v>2</v>
      </c>
      <c r="G97" s="57">
        <v>1</v>
      </c>
      <c r="H97" s="58" t="s">
        <v>156</v>
      </c>
      <c r="I97" s="65" t="s">
        <v>157</v>
      </c>
      <c r="J97" s="64"/>
      <c r="K97" s="59"/>
      <c r="L97" s="60" t="s">
        <v>54</v>
      </c>
      <c r="M97" s="45"/>
      <c r="N97" s="55"/>
    </row>
    <row r="98" spans="1:14" ht="12" customHeight="1" x14ac:dyDescent="0.2"/>
    <row r="99" spans="1:14" ht="12.95" customHeight="1" x14ac:dyDescent="0.2"/>
    <row r="100" spans="1:14" ht="15" customHeight="1" x14ac:dyDescent="0.2">
      <c r="J100" s="46"/>
      <c r="K100" s="47"/>
      <c r="L100" s="47"/>
      <c r="M100" s="47"/>
      <c r="N100" s="47"/>
    </row>
  </sheetData>
  <sheetProtection sheet="1" objects="1" scenarios="1" selectLockedCells="1"/>
  <mergeCells count="192">
    <mergeCell ref="A96:D96"/>
    <mergeCell ref="I96:J96"/>
    <mergeCell ref="A97:D97"/>
    <mergeCell ref="I97:J97"/>
    <mergeCell ref="A93:D93"/>
    <mergeCell ref="I93:J93"/>
    <mergeCell ref="A94:D94"/>
    <mergeCell ref="I94:J94"/>
    <mergeCell ref="A95:D95"/>
    <mergeCell ref="I95:J95"/>
    <mergeCell ref="A90:D90"/>
    <mergeCell ref="I90:J90"/>
    <mergeCell ref="A91:D91"/>
    <mergeCell ref="I91:J91"/>
    <mergeCell ref="A92:D92"/>
    <mergeCell ref="I92:J92"/>
    <mergeCell ref="A87:D87"/>
    <mergeCell ref="I87:J87"/>
    <mergeCell ref="A88:D88"/>
    <mergeCell ref="I88:J88"/>
    <mergeCell ref="A89:D89"/>
    <mergeCell ref="I89:J89"/>
    <mergeCell ref="A84:D84"/>
    <mergeCell ref="I84:J84"/>
    <mergeCell ref="A85:D85"/>
    <mergeCell ref="I85:J85"/>
    <mergeCell ref="A86:D86"/>
    <mergeCell ref="I86:J86"/>
    <mergeCell ref="A81:D81"/>
    <mergeCell ref="I81:J81"/>
    <mergeCell ref="A82:D82"/>
    <mergeCell ref="I82:J82"/>
    <mergeCell ref="A83:D83"/>
    <mergeCell ref="I83:J83"/>
    <mergeCell ref="A78:D78"/>
    <mergeCell ref="I78:J78"/>
    <mergeCell ref="A79:D79"/>
    <mergeCell ref="I79:J79"/>
    <mergeCell ref="A80:D80"/>
    <mergeCell ref="I80:J80"/>
    <mergeCell ref="A75:D75"/>
    <mergeCell ref="I75:J75"/>
    <mergeCell ref="A76:D76"/>
    <mergeCell ref="I76:J76"/>
    <mergeCell ref="A77:D77"/>
    <mergeCell ref="I77:J77"/>
    <mergeCell ref="A72:D72"/>
    <mergeCell ref="I72:J72"/>
    <mergeCell ref="A73:D73"/>
    <mergeCell ref="I73:J73"/>
    <mergeCell ref="A74:D74"/>
    <mergeCell ref="I74:J74"/>
    <mergeCell ref="A69:D69"/>
    <mergeCell ref="I69:J69"/>
    <mergeCell ref="A70:D70"/>
    <mergeCell ref="I70:J70"/>
    <mergeCell ref="A71:D71"/>
    <mergeCell ref="I71:J71"/>
    <mergeCell ref="A66:D66"/>
    <mergeCell ref="I66:J66"/>
    <mergeCell ref="A67:D67"/>
    <mergeCell ref="I67:J67"/>
    <mergeCell ref="A68:D68"/>
    <mergeCell ref="I68:J68"/>
    <mergeCell ref="A63:D63"/>
    <mergeCell ref="I63:J63"/>
    <mergeCell ref="A64:D64"/>
    <mergeCell ref="I64:J64"/>
    <mergeCell ref="A65:D65"/>
    <mergeCell ref="I65:J65"/>
    <mergeCell ref="A60:D60"/>
    <mergeCell ref="I60:J60"/>
    <mergeCell ref="A61:D61"/>
    <mergeCell ref="I61:J61"/>
    <mergeCell ref="A62:D62"/>
    <mergeCell ref="I62:J62"/>
    <mergeCell ref="A57:D57"/>
    <mergeCell ref="I57:J57"/>
    <mergeCell ref="A58:D58"/>
    <mergeCell ref="I58:J58"/>
    <mergeCell ref="A59:D59"/>
    <mergeCell ref="I59:J59"/>
    <mergeCell ref="A54:D54"/>
    <mergeCell ref="I54:J54"/>
    <mergeCell ref="A55:D55"/>
    <mergeCell ref="I55:J55"/>
    <mergeCell ref="A56:D56"/>
    <mergeCell ref="I56:J56"/>
    <mergeCell ref="A51:D51"/>
    <mergeCell ref="I51:J51"/>
    <mergeCell ref="A52:D52"/>
    <mergeCell ref="I52:J52"/>
    <mergeCell ref="A53:D53"/>
    <mergeCell ref="I53:J53"/>
    <mergeCell ref="A48:D48"/>
    <mergeCell ref="I48:J48"/>
    <mergeCell ref="A49:D49"/>
    <mergeCell ref="I49:J49"/>
    <mergeCell ref="A50:D50"/>
    <mergeCell ref="I50:J50"/>
    <mergeCell ref="A45:D45"/>
    <mergeCell ref="I45:J45"/>
    <mergeCell ref="A46:D46"/>
    <mergeCell ref="I46:J46"/>
    <mergeCell ref="A47:D47"/>
    <mergeCell ref="I47:J47"/>
    <mergeCell ref="A42:D42"/>
    <mergeCell ref="I42:J42"/>
    <mergeCell ref="A43:D43"/>
    <mergeCell ref="I43:J43"/>
    <mergeCell ref="A44:D44"/>
    <mergeCell ref="I44:J44"/>
    <mergeCell ref="A39:D39"/>
    <mergeCell ref="I39:J39"/>
    <mergeCell ref="A40:D40"/>
    <mergeCell ref="I40:J40"/>
    <mergeCell ref="A41:D41"/>
    <mergeCell ref="I41:J41"/>
    <mergeCell ref="A36:D36"/>
    <mergeCell ref="I36:J36"/>
    <mergeCell ref="A37:D37"/>
    <mergeCell ref="I37:J37"/>
    <mergeCell ref="A38:D38"/>
    <mergeCell ref="I38:J38"/>
    <mergeCell ref="A33:D33"/>
    <mergeCell ref="I33:J33"/>
    <mergeCell ref="A34:D34"/>
    <mergeCell ref="I34:J34"/>
    <mergeCell ref="A35:D35"/>
    <mergeCell ref="I35:J35"/>
    <mergeCell ref="A30:D30"/>
    <mergeCell ref="I30:J30"/>
    <mergeCell ref="A31:D31"/>
    <mergeCell ref="I31:J31"/>
    <mergeCell ref="A32:D32"/>
    <mergeCell ref="I32:J32"/>
    <mergeCell ref="A27:D27"/>
    <mergeCell ref="I27:J27"/>
    <mergeCell ref="A28:D28"/>
    <mergeCell ref="I28:J28"/>
    <mergeCell ref="A29:D29"/>
    <mergeCell ref="I29:J29"/>
    <mergeCell ref="A24:D24"/>
    <mergeCell ref="I24:J24"/>
    <mergeCell ref="A25:D25"/>
    <mergeCell ref="I25:J25"/>
    <mergeCell ref="A26:D26"/>
    <mergeCell ref="I26:J26"/>
    <mergeCell ref="A21:D21"/>
    <mergeCell ref="I21:J21"/>
    <mergeCell ref="A22:D22"/>
    <mergeCell ref="I22:J22"/>
    <mergeCell ref="A23:D23"/>
    <mergeCell ref="I23:J23"/>
    <mergeCell ref="A18:D18"/>
    <mergeCell ref="I18:J18"/>
    <mergeCell ref="A19:D19"/>
    <mergeCell ref="I19:J19"/>
    <mergeCell ref="A20:D20"/>
    <mergeCell ref="I20:J20"/>
    <mergeCell ref="A15:D15"/>
    <mergeCell ref="I15:J15"/>
    <mergeCell ref="A16:D16"/>
    <mergeCell ref="I16:J16"/>
    <mergeCell ref="A17:D17"/>
    <mergeCell ref="I17:J17"/>
    <mergeCell ref="A12:D12"/>
    <mergeCell ref="I12:J12"/>
    <mergeCell ref="A13:D13"/>
    <mergeCell ref="I13:J13"/>
    <mergeCell ref="A14:D14"/>
    <mergeCell ref="I14:J14"/>
    <mergeCell ref="A9:D9"/>
    <mergeCell ref="I9:J9"/>
    <mergeCell ref="A10:D10"/>
    <mergeCell ref="I10:J10"/>
    <mergeCell ref="A11:D11"/>
    <mergeCell ref="I11:J11"/>
    <mergeCell ref="A5:D5"/>
    <mergeCell ref="I5:J5"/>
    <mergeCell ref="A7:D7"/>
    <mergeCell ref="I7:J7"/>
    <mergeCell ref="A8:D8"/>
    <mergeCell ref="I8:J8"/>
    <mergeCell ref="D2:H2"/>
    <mergeCell ref="I2:L2"/>
    <mergeCell ref="O2:W2"/>
    <mergeCell ref="X2:AG2"/>
    <mergeCell ref="AO2:AV2"/>
    <mergeCell ref="O3:W3"/>
    <mergeCell ref="X3:AG3"/>
    <mergeCell ref="AO3:AV3"/>
  </mergeCells>
  <pageMargins left="0.195833333333333" right="0.195833333333333" top="0.195833333333333" bottom="0.195833333333333" header="0" footer="0"/>
  <pageSetup paperSize="0" scale="0" fitToWidth="0" fitToHeight="0" orientation="portrait" horizontalDpi="0" verticalDpi="0" copie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2EE069-9AD7-45E3-ADBF-CAC159BCD0CC}">
  <sheetPr codeName="Sheet11"/>
  <dimension ref="A2:L13"/>
  <sheetViews>
    <sheetView workbookViewId="0">
      <selection activeCell="J22" sqref="J22"/>
    </sheetView>
  </sheetViews>
  <sheetFormatPr defaultRowHeight="12.75" x14ac:dyDescent="0.2"/>
  <cols>
    <col min="1" max="1" width="45" customWidth="1"/>
    <col min="2" max="2" width="1.85546875" customWidth="1"/>
    <col min="3" max="3" width="14.7109375" customWidth="1"/>
    <col min="4" max="4" width="2.140625" customWidth="1"/>
    <col min="5" max="5" width="6.85546875" bestFit="1" customWidth="1"/>
    <col min="6" max="6" width="2.140625" customWidth="1"/>
    <col min="7" max="7" width="6.5703125" bestFit="1" customWidth="1"/>
    <col min="8" max="8" width="1.7109375" customWidth="1"/>
    <col min="9" max="9" width="21.140625" customWidth="1"/>
    <col min="10" max="10" width="1.5703125" customWidth="1"/>
    <col min="11" max="11" width="15.85546875" customWidth="1"/>
    <col min="12" max="12" width="11.85546875" customWidth="1"/>
  </cols>
  <sheetData>
    <row r="2" spans="1:12" ht="45" x14ac:dyDescent="0.2">
      <c r="A2" s="18" t="s">
        <v>48</v>
      </c>
      <c r="B2" s="18"/>
      <c r="C2" s="18"/>
      <c r="D2" s="18"/>
      <c r="E2" s="18"/>
      <c r="F2" s="18"/>
      <c r="G2" s="18"/>
      <c r="H2" s="18"/>
      <c r="I2" s="18"/>
      <c r="J2" s="18"/>
      <c r="K2" s="18"/>
      <c r="L2" s="4"/>
    </row>
    <row r="3" spans="1:12" ht="45" x14ac:dyDescent="0.2">
      <c r="A3" s="18"/>
      <c r="B3" s="18"/>
      <c r="C3" s="18"/>
      <c r="D3" s="18"/>
      <c r="E3" s="18"/>
      <c r="F3" s="18"/>
      <c r="G3" s="18"/>
      <c r="H3" s="18"/>
      <c r="I3" s="18"/>
      <c r="J3" s="18"/>
      <c r="K3" s="18"/>
      <c r="L3" s="4"/>
    </row>
    <row r="4" spans="1:12" ht="60.75" customHeight="1" x14ac:dyDescent="0.2"/>
    <row r="5" spans="1:12" ht="18.75" thickBot="1" x14ac:dyDescent="0.25">
      <c r="A5" s="5" t="s">
        <v>1</v>
      </c>
      <c r="B5" s="6"/>
      <c r="C5" s="7" t="s">
        <v>49</v>
      </c>
      <c r="D5" s="2"/>
      <c r="E5" s="7" t="s">
        <v>50</v>
      </c>
      <c r="F5" s="8"/>
      <c r="G5" s="7" t="s">
        <v>4</v>
      </c>
      <c r="I5" s="7" t="s">
        <v>5</v>
      </c>
      <c r="J5" s="8"/>
      <c r="K5" s="7" t="s">
        <v>51</v>
      </c>
    </row>
    <row r="6" spans="1:12" x14ac:dyDescent="0.2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</row>
    <row r="7" spans="1:12" ht="18.75" thickBot="1" x14ac:dyDescent="0.25">
      <c r="A7" s="10"/>
      <c r="B7" s="11"/>
      <c r="C7" s="3"/>
      <c r="D7" s="9"/>
      <c r="E7" s="9"/>
      <c r="F7" s="9"/>
      <c r="G7" s="9"/>
      <c r="H7" s="9"/>
      <c r="I7" s="9"/>
      <c r="J7" s="9"/>
      <c r="K7" s="9"/>
      <c r="L7" s="9"/>
    </row>
    <row r="8" spans="1:12" ht="18" x14ac:dyDescent="0.2">
      <c r="A8" s="12"/>
      <c r="B8" s="11"/>
      <c r="C8" s="3"/>
      <c r="D8" s="9"/>
      <c r="E8" s="9"/>
      <c r="F8" s="9"/>
      <c r="G8" s="9"/>
      <c r="H8" s="9"/>
      <c r="I8" s="9"/>
      <c r="J8" s="9"/>
      <c r="K8" s="9"/>
      <c r="L8" s="9"/>
    </row>
    <row r="9" spans="1:12" ht="18" x14ac:dyDescent="0.2">
      <c r="A9" s="13"/>
      <c r="B9" s="11"/>
      <c r="C9" s="14"/>
      <c r="D9" s="15"/>
      <c r="E9" s="16"/>
      <c r="F9" s="17"/>
      <c r="G9" s="16"/>
      <c r="I9" s="16"/>
      <c r="J9" s="9"/>
      <c r="K9" s="9"/>
      <c r="L9" s="9"/>
    </row>
    <row r="10" spans="1:12" ht="18" x14ac:dyDescent="0.2">
      <c r="A10" s="13"/>
      <c r="B10" s="11"/>
      <c r="C10" s="14"/>
      <c r="D10" s="15"/>
      <c r="E10" s="16"/>
      <c r="F10" s="17"/>
      <c r="G10" s="16"/>
      <c r="I10" s="16"/>
      <c r="J10" s="9"/>
      <c r="K10" s="9"/>
    </row>
    <row r="11" spans="1:12" ht="18" x14ac:dyDescent="0.2">
      <c r="A11" s="13"/>
      <c r="B11" s="11"/>
      <c r="C11" s="14"/>
      <c r="D11" s="15"/>
      <c r="E11" s="16"/>
      <c r="F11" s="17"/>
      <c r="G11" s="16"/>
      <c r="I11" s="16"/>
      <c r="J11" s="9"/>
      <c r="K11" s="9"/>
    </row>
    <row r="12" spans="1:12" ht="18" x14ac:dyDescent="0.2">
      <c r="A12" s="13"/>
      <c r="B12" s="11"/>
      <c r="C12" s="14"/>
      <c r="D12" s="15"/>
      <c r="E12" s="16"/>
      <c r="F12" s="17"/>
      <c r="G12" s="16"/>
      <c r="I12" s="16"/>
      <c r="J12" s="9"/>
      <c r="K12" s="9"/>
    </row>
    <row r="13" spans="1:12" ht="18" x14ac:dyDescent="0.2">
      <c r="A13" s="13"/>
      <c r="B13" s="11"/>
      <c r="C13" s="14"/>
      <c r="D13" s="15"/>
      <c r="E13" s="16"/>
      <c r="F13" s="17"/>
      <c r="G13" s="16"/>
      <c r="I13" s="16"/>
      <c r="J13" s="9"/>
      <c r="K13" s="9"/>
    </row>
  </sheetData>
  <mergeCells count="2">
    <mergeCell ref="A2:K3"/>
    <mergeCell ref="A6:L6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2B5FDF-20CC-46B8-AE93-586E5CE5005F}">
  <sheetPr codeName="Sheet1"/>
  <dimension ref="A1:F7"/>
  <sheetViews>
    <sheetView workbookViewId="0"/>
  </sheetViews>
  <sheetFormatPr defaultRowHeight="12.75" x14ac:dyDescent="0.2"/>
  <sheetData>
    <row r="1" spans="1:6" x14ac:dyDescent="0.2">
      <c r="A1" t="s">
        <v>17</v>
      </c>
      <c r="B1" t="s">
        <v>18</v>
      </c>
      <c r="C1" t="s">
        <v>19</v>
      </c>
    </row>
    <row r="2" spans="1:6" x14ac:dyDescent="0.2">
      <c r="C2" s="1"/>
    </row>
    <row r="5" spans="1:6" x14ac:dyDescent="0.2">
      <c r="A5" t="s">
        <v>20</v>
      </c>
      <c r="B5" t="s">
        <v>21</v>
      </c>
      <c r="D5" t="s">
        <v>30</v>
      </c>
      <c r="E5" t="s">
        <v>31</v>
      </c>
      <c r="F5" t="s">
        <v>32</v>
      </c>
    </row>
    <row r="6" spans="1:6" x14ac:dyDescent="0.2">
      <c r="A6" t="s">
        <v>22</v>
      </c>
      <c r="B6" t="s">
        <v>53</v>
      </c>
      <c r="D6" t="s">
        <v>22</v>
      </c>
      <c r="E6" t="s">
        <v>33</v>
      </c>
      <c r="F6" s="1">
        <v>46101.553472222222</v>
      </c>
    </row>
    <row r="7" spans="1:6" x14ac:dyDescent="0.2">
      <c r="D7" t="s">
        <v>22</v>
      </c>
      <c r="E7" t="s">
        <v>35</v>
      </c>
      <c r="F7" s="1">
        <v>46104.609722222223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353DF3-3CE1-4C76-B7FC-4A556F569AD9}">
  <sheetPr codeName="Sheet8"/>
  <dimension ref="A1"/>
  <sheetViews>
    <sheetView workbookViewId="0">
      <selection activeCell="B87" sqref="B87:AI87"/>
    </sheetView>
  </sheetViews>
  <sheetFormatPr defaultRowHeight="12.75" x14ac:dyDescent="0.2"/>
  <sheetData>
    <row r="1" spans="1:1" x14ac:dyDescent="0.2">
      <c r="A1" t="s">
        <v>47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Utility Panel</vt:lpstr>
      <vt:lpstr>Delivery List</vt:lpstr>
      <vt:lpstr>Staging - Airport Rd</vt:lpstr>
      <vt:lpstr>Outbound - Airport Rd</vt:lpstr>
      <vt:lpstr>Inbound - Indian Trail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Daniel McAbee</dc:creator>
  <dc:description>Powered by Crystal</dc:description>
  <cp:lastModifiedBy>Daniel McAbee</cp:lastModifiedBy>
  <cp:lastPrinted>2026-03-26T20:04:58Z</cp:lastPrinted>
  <dcterms:created xsi:type="dcterms:W3CDTF">2026-03-06T14:54:10Z</dcterms:created>
  <dcterms:modified xsi:type="dcterms:W3CDTF">2026-03-26T20:06:13Z</dcterms:modified>
</cp:coreProperties>
</file>