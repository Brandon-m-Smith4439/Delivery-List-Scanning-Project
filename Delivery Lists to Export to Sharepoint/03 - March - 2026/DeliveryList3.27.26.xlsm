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I:\BAREFOOT-INSTALL\Glass Production\Brandon\Lists for Sharepoint\March - 2026\"/>
    </mc:Choice>
  </mc:AlternateContent>
  <xr:revisionPtr revIDLastSave="0" documentId="8_{03CB2DB1-F16C-4481-A750-7D48DF91395B}" xr6:coauthVersionLast="47" xr6:coauthVersionMax="47" xr10:uidLastSave="{00000000-0000-0000-0000-000000000000}"/>
  <bookViews>
    <workbookView xWindow="-28920" yWindow="-120" windowWidth="29040" windowHeight="15720" activeTab="4" xr2:uid="{00000000-000D-0000-FFFF-FFFF00000000}"/>
  </bookViews>
  <sheets>
    <sheet name="Utility Panel" sheetId="29" r:id="rId1"/>
    <sheet name="Delivery List" sheetId="768" r:id="rId2"/>
    <sheet name="Staging - Airport Rd" sheetId="775" r:id="rId3"/>
    <sheet name="Outbound - Airport Rd" sheetId="776" r:id="rId4"/>
    <sheet name="Inbound - Indian Trail" sheetId="777" r:id="rId5"/>
    <sheet name="__ChangeAudit" sheetId="10" state="veryHidden" r:id="rId6"/>
  </sheets>
  <functionGroups builtInGroupCount="19"/>
  <definedNames>
    <definedName name="_DeliveryEditMode">FALSE</definedName>
    <definedName name="_LastScanHighlight_DELIVERY_LIST">75</definedName>
    <definedName name="_LastScanHighlight_INBOUND___GREENVILLE">121</definedName>
    <definedName name="_LastScanHighlight_INBOUND___INDIAN_TRAIL">92</definedName>
    <definedName name="_LastScanHighlight_OUTBOUND___AIRPORT_RD">121</definedName>
    <definedName name="_LastScanHighlight_STAGING___AIRPORT_RD">75</definedName>
    <definedName name="_ReceiveDestination">"Indian Trail"</definedName>
    <definedName name="CommentsWidthInit_Sheet1_28">TRUE</definedName>
    <definedName name="LastHighlightRow_Sheet1">49</definedName>
    <definedName name="LastHighlightRow_Sheet2">49</definedName>
    <definedName name="LastHighlightRow_Sheet3">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2" i="777" l="1"/>
  <c r="X2" i="777"/>
  <c r="O2" i="777"/>
  <c r="AO2" i="776"/>
  <c r="X2" i="776"/>
  <c r="O2" i="776"/>
  <c r="AO2" i="775"/>
  <c r="X2" i="775"/>
  <c r="O2" i="775"/>
  <c r="AO2" i="768"/>
  <c r="X2" i="768"/>
  <c r="O2" i="768"/>
</calcChain>
</file>

<file path=xl/sharedStrings.xml><?xml version="1.0" encoding="utf-8"?>
<sst xmlns="http://schemas.openxmlformats.org/spreadsheetml/2006/main" count="518" uniqueCount="91">
  <si>
    <t>DELIVERY LIST FOR</t>
  </si>
  <si>
    <t>Job Nr.</t>
  </si>
  <si>
    <t>Order Nr.</t>
  </si>
  <si>
    <t>Item Nr.</t>
  </si>
  <si>
    <t>Qty.</t>
  </si>
  <si>
    <t>Dimensions</t>
  </si>
  <si>
    <t>Customer</t>
  </si>
  <si>
    <t>1/4" Mirror</t>
  </si>
  <si>
    <t>3/8" Clear Tempered</t>
  </si>
  <si>
    <t>Most Recent Scan:</t>
  </si>
  <si>
    <t>Barcode</t>
  </si>
  <si>
    <t>Qty Scanned</t>
  </si>
  <si>
    <t>Date &amp; Time Scanned</t>
  </si>
  <si>
    <t>Check</t>
  </si>
  <si>
    <t>Delivery Timing</t>
  </si>
  <si>
    <t>Comments</t>
  </si>
  <si>
    <t>Barcode Received</t>
  </si>
  <si>
    <t>Order Nr. Received</t>
  </si>
  <si>
    <t>Item Nr. Received</t>
  </si>
  <si>
    <t>Qty Received</t>
  </si>
  <si>
    <t>Date &amp; Time Received</t>
  </si>
  <si>
    <t>Received Check</t>
  </si>
  <si>
    <t>Bay Nr.</t>
  </si>
  <si>
    <t>LENNAR HOMES</t>
  </si>
  <si>
    <t>CurrentChangeKey</t>
  </si>
  <si>
    <t>ChangedBy</t>
  </si>
  <si>
    <t>ChangedAt</t>
  </si>
  <si>
    <t>User</t>
  </si>
  <si>
    <t>SeenChangeKey</t>
  </si>
  <si>
    <t>daniel.mcabee</t>
  </si>
  <si>
    <t>Actions</t>
  </si>
  <si>
    <t>Navigation</t>
  </si>
  <si>
    <t>Utility Panel</t>
  </si>
  <si>
    <t>Outbound - Airport Rd</t>
  </si>
  <si>
    <t>Staging - Airport Rd</t>
  </si>
  <si>
    <t>Inbound - Indian Trail</t>
  </si>
  <si>
    <t>20260320_075525</t>
  </si>
  <si>
    <t>Use the buttons below to import a new delivery list, update an existing list, save a SharePoint copy, sync scanner sheets, and jump directly to the working tabs.</t>
  </si>
  <si>
    <t>PopupUser</t>
  </si>
  <si>
    <t>PopupNoticeKey</t>
  </si>
  <si>
    <t>SeenAt</t>
  </si>
  <si>
    <t>EDIT_MODE_WARNING_V1</t>
  </si>
  <si>
    <t>PULTE GROUP</t>
  </si>
  <si>
    <t>28" x 79 1/2"</t>
  </si>
  <si>
    <t>Route</t>
  </si>
  <si>
    <t>28" x 42"</t>
  </si>
  <si>
    <t>100" x 42"</t>
  </si>
  <si>
    <t>UPDATE_COMPLETE_NOTICE_V1</t>
  </si>
  <si>
    <t>TRUE HOMES LLC  ****</t>
  </si>
  <si>
    <t xml:space="preserve"> 3/27/2026
</t>
  </si>
  <si>
    <t>1/4" Clear Tempered Shower</t>
  </si>
  <si>
    <t>86756760 CANNON VILLAGE 45</t>
  </si>
  <si>
    <t>46 1/2" x 46 5/16"</t>
  </si>
  <si>
    <t>46 3/8" x 46 5/8"</t>
  </si>
  <si>
    <t>46 11/16" x 46 3/8"</t>
  </si>
  <si>
    <t>86024245M COLVIN PARK 52</t>
  </si>
  <si>
    <t>106" x 36"</t>
  </si>
  <si>
    <t>86925064M CAROLINA RIVERSIDE 309</t>
  </si>
  <si>
    <t>86924817.4 JUAN CPU</t>
  </si>
  <si>
    <t>41 5/8" x 80"</t>
  </si>
  <si>
    <t>Juan</t>
  </si>
  <si>
    <t>86024245 COLVING PARK 52</t>
  </si>
  <si>
    <t>79 1/2" x 28 1/8"</t>
  </si>
  <si>
    <t>80" x 30 5/16"</t>
  </si>
  <si>
    <t>86923937 711 YELLOW</t>
  </si>
  <si>
    <t>28" x 83 1/2"</t>
  </si>
  <si>
    <t>LUNA CONSTRUCTION</t>
  </si>
  <si>
    <t>11 1/2" x 84"</t>
  </si>
  <si>
    <t>86923937.2 711 YELLOW</t>
  </si>
  <si>
    <t>23 3/16" x 84"</t>
  </si>
  <si>
    <t>86923937.3 711 YELLOW</t>
  </si>
  <si>
    <t>23 1/4" x 84"</t>
  </si>
  <si>
    <t>86923937.4 711 YELLOW</t>
  </si>
  <si>
    <t>50 7/8" x 84"</t>
  </si>
  <si>
    <t>14" x 84"</t>
  </si>
  <si>
    <t>83 1/2" x 28 1/8"</t>
  </si>
  <si>
    <t>86923937.5 711 YELLOW</t>
  </si>
  <si>
    <t>12 7/16" x 67 3/4"</t>
  </si>
  <si>
    <t>30" x 83 5/8"</t>
  </si>
  <si>
    <t>36 5/16" x 84"</t>
  </si>
  <si>
    <t>86924817 JUAN CPU</t>
  </si>
  <si>
    <t>10 1/2" x 80"</t>
  </si>
  <si>
    <t>46" x 80"</t>
  </si>
  <si>
    <t>86924817.2 JUAN CPU</t>
  </si>
  <si>
    <t>27 7/8" x 80"</t>
  </si>
  <si>
    <t>86924817.3 JUAN CPU</t>
  </si>
  <si>
    <t>30 5/8" x 80"</t>
  </si>
  <si>
    <t>86925064 CAROLINA RIVERSIDE 309</t>
  </si>
  <si>
    <t>15 5/16" x 45 1/4"</t>
  </si>
  <si>
    <t>86925064.2 CAROLINA RIVERSIDE 309</t>
  </si>
  <si>
    <t>45 5/16" x 15 11/16"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</si>
</sst>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;#"/>
    <numFmt numFmtId="165" formatCode="m/d/yyyy\ h:mm\ AM/PM"/>
    <numFmt numFmtId="166" formatCode="h\.mm\ "/>
  </numFmts>
  <fonts count="14" x14ac:knownFonts="1">
    <font>
      <sz val="10"/>
      <color rgb="FF000000"/>
      <name val="ARIAL"/>
      <charset val="1"/>
    </font>
    <font>
      <b/>
      <sz val="20"/>
      <color rgb="FF000000"/>
      <name val="Arial"/>
      <family val="16"/>
      <charset val="1"/>
    </font>
    <font>
      <b/>
      <sz val="10"/>
      <color rgb="FF000000"/>
      <name val="Arial"/>
      <family val="16"/>
      <charset val="1"/>
    </font>
    <font>
      <sz val="8"/>
      <color rgb="FF000000"/>
      <name val="ARIAL"/>
      <family val="16"/>
      <charset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0"/>
      <color rgb="FF006100"/>
      <name val="Arial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16"/>
      <charset val="1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8A745"/>
        <bgColor indexed="64"/>
      </patternFill>
    </fill>
    <fill>
      <patternFill patternType="solid">
        <fgColor rgb="FF6C757D"/>
        <bgColor indexed="64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41">
    <xf numFmtId="0" fontId="0" fillId="0" borderId="0" xfId="0"/>
    <xf numFmtId="22" fontId="0" fillId="0" borderId="0" xfId="0" applyNumberFormat="1"/>
    <xf numFmtId="0" fontId="0" fillId="0" borderId="0" xfId="0" applyProtection="1">
      <protection locked="0"/>
    </xf>
    <xf numFmtId="0" fontId="0" fillId="0" borderId="0" xfId="0" applyProtection="1"/>
    <xf numFmtId="0" fontId="10" fillId="3" borderId="2" xfId="0" applyFont="1" applyFill="1" applyBorder="1" applyAlignment="1" applyProtection="1">
      <alignment horizontal="center" vertical="center"/>
    </xf>
    <xf numFmtId="0" fontId="11" fillId="4" borderId="2" xfId="0" applyFont="1" applyFill="1" applyBorder="1" applyAlignment="1" applyProtection="1">
      <alignment horizontal="center" vertical="center" wrapText="1"/>
    </xf>
    <xf numFmtId="0" fontId="12" fillId="3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165" fontId="8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1" fillId="0" borderId="0" xfId="0" applyFont="1" applyAlignment="1" applyProtection="1">
      <alignment horizontal="left" vertical="top" wrapText="1"/>
    </xf>
    <xf numFmtId="0" fontId="2" fillId="0" borderId="0" xfId="0" applyFont="1" applyAlignment="1" applyProtection="1">
      <alignment horizontal="left" vertical="top" wrapText="1"/>
    </xf>
    <xf numFmtId="0" fontId="2" fillId="0" borderId="0" xfId="0" applyFont="1" applyAlignment="1" applyProtection="1">
      <alignment horizontal="left" vertical="top" wrapText="1"/>
    </xf>
    <xf numFmtId="0" fontId="2" fillId="0" borderId="0" xfId="0" applyFont="1" applyAlignment="1" applyProtection="1">
      <alignment horizontal="center" vertical="top" wrapText="1"/>
    </xf>
    <xf numFmtId="0" fontId="2" fillId="0" borderId="0" xfId="0" applyFont="1" applyAlignment="1" applyProtection="1">
      <alignment horizontal="center" vertical="top" wrapText="1"/>
    </xf>
    <xf numFmtId="0" fontId="2" fillId="0" borderId="0" xfId="0" applyFont="1" applyAlignment="1" applyProtection="1">
      <alignment horizontal="left" vertical="top"/>
    </xf>
    <xf numFmtId="0" fontId="3" fillId="0" borderId="0" xfId="0" applyFont="1" applyAlignment="1" applyProtection="1">
      <alignment horizontal="left" vertical="top"/>
    </xf>
    <xf numFmtId="164" fontId="3" fillId="0" borderId="0" xfId="0" applyNumberFormat="1" applyFont="1" applyAlignment="1" applyProtection="1">
      <alignment horizontal="left" vertical="top"/>
    </xf>
    <xf numFmtId="164" fontId="3" fillId="0" borderId="0" xfId="0" applyNumberFormat="1" applyFont="1" applyAlignment="1" applyProtection="1">
      <alignment horizontal="center" vertical="top"/>
    </xf>
    <xf numFmtId="0" fontId="3" fillId="0" borderId="0" xfId="0" applyFont="1" applyAlignment="1" applyProtection="1">
      <alignment horizontal="left" vertical="top"/>
    </xf>
    <xf numFmtId="14" fontId="9" fillId="0" borderId="0" xfId="0" applyNumberFormat="1" applyFont="1" applyAlignment="1" applyProtection="1">
      <alignment horizontal="right" vertical="top"/>
    </xf>
    <xf numFmtId="166" fontId="9" fillId="0" borderId="0" xfId="0" applyNumberFormat="1" applyFont="1" applyAlignment="1" applyProtection="1">
      <alignment horizontal="right" vertical="top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5" fontId="0" fillId="0" borderId="0" xfId="0" applyNumberFormat="1" applyAlignment="1" applyProtection="1">
      <alignment horizontal="center" vertical="center"/>
    </xf>
    <xf numFmtId="0" fontId="5" fillId="0" borderId="1" xfId="0" applyFont="1" applyBorder="1" applyAlignment="1" applyProtection="1">
      <alignment horizontal="right" vertical="center"/>
    </xf>
    <xf numFmtId="0" fontId="7" fillId="2" borderId="2" xfId="0" applyFont="1" applyFill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165" fontId="8" fillId="0" borderId="0" xfId="0" applyNumberFormat="1" applyFont="1" applyAlignment="1" applyProtection="1">
      <alignment horizontal="center" vertical="center"/>
    </xf>
    <xf numFmtId="0" fontId="6" fillId="0" borderId="3" xfId="0" applyFont="1" applyBorder="1" applyAlignment="1" applyProtection="1">
      <alignment horizontal="center" vertical="center"/>
    </xf>
    <xf numFmtId="0" fontId="6" fillId="0" borderId="4" xfId="0" applyFont="1" applyBorder="1" applyAlignment="1" applyProtection="1">
      <alignment horizontal="center" vertical="center"/>
    </xf>
    <xf numFmtId="0" fontId="6" fillId="0" borderId="3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13" fillId="5" borderId="5" xfId="0" applyFont="1" applyFill="1" applyBorder="1" applyAlignment="1" applyProtection="1">
      <alignment horizontal="center" vertical="center"/>
    </xf>
    <xf numFmtId="0" fontId="13" fillId="6" borderId="6" xfId="0" applyFont="1" applyFill="1" applyBorder="1" applyAlignment="1" applyProtection="1">
      <alignment horizontal="center" vertical="center"/>
    </xf>
    <xf numFmtId="0" fontId="13" fillId="7" borderId="6" xfId="0" applyFont="1" applyFill="1" applyBorder="1" applyAlignment="1" applyProtection="1">
      <alignment horizontal="center" vertical="center"/>
    </xf>
  </cellXfs>
  <cellStyles count="2">
    <cellStyle name="Normal" xfId="0" builtinId="0"/>
    <cellStyle name="Normal 2" xfId="1" xr:uid="{0607A8A7-426B-4023-AB29-32F8FF376C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565150</xdr:colOff>
      <xdr:row>9</xdr:row>
      <xdr:rowOff>120650</xdr:rowOff>
    </xdr:from>
    <xdr:to>
      <xdr:col>10</xdr:col>
      <xdr:colOff>415925</xdr:colOff>
      <xdr:row>11</xdr:row>
      <xdr:rowOff>31750</xdr:rowOff>
    </xdr:to>
    <xdr:sp macro="[0]!ImportNewDeliveryList" textlink="">
      <xdr:nvSpPr>
        <xdr:cNvPr id="1917" name="btnHomeImport">
          <a:extLst>
            <a:ext uri="{FF2B5EF4-FFF2-40B4-BE49-F238E27FC236}">
              <a16:creationId xmlns:a16="http://schemas.microsoft.com/office/drawing/2014/main" id="{4CD78396-A748-A613-81DF-9B591B7C4A6C}"/>
            </a:ext>
          </a:extLst>
        </xdr:cNvPr>
        <xdr:cNvSpPr/>
      </xdr:nvSpPr>
      <xdr:spPr>
        <a:xfrm>
          <a:off x="4899025" y="3397250"/>
          <a:ext cx="2794000" cy="4445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Import New Delivery List</a:t>
          </a:r>
        </a:p>
      </xdr:txBody>
    </xdr:sp>
    <xdr:clientData fLocksWithSheet="0"/>
  </xdr:twoCellAnchor>
  <xdr:twoCellAnchor editAs="absolute">
    <xdr:from>
      <xdr:col>7</xdr:col>
      <xdr:colOff>565150</xdr:colOff>
      <xdr:row>11</xdr:row>
      <xdr:rowOff>120650</xdr:rowOff>
    </xdr:from>
    <xdr:to>
      <xdr:col>10</xdr:col>
      <xdr:colOff>415925</xdr:colOff>
      <xdr:row>13</xdr:row>
      <xdr:rowOff>31750</xdr:rowOff>
    </xdr:to>
    <xdr:sp macro="[0]!UpdateExistingDeliveryList" textlink="">
      <xdr:nvSpPr>
        <xdr:cNvPr id="1918" name="btnHomeUpdate">
          <a:extLst>
            <a:ext uri="{FF2B5EF4-FFF2-40B4-BE49-F238E27FC236}">
              <a16:creationId xmlns:a16="http://schemas.microsoft.com/office/drawing/2014/main" id="{5E59BC5C-608D-85CF-FE38-EFBB89717BD2}"/>
            </a:ext>
          </a:extLst>
        </xdr:cNvPr>
        <xdr:cNvSpPr/>
      </xdr:nvSpPr>
      <xdr:spPr>
        <a:xfrm>
          <a:off x="4899025" y="3930650"/>
          <a:ext cx="2794000" cy="444500"/>
        </a:xfrm>
        <a:prstGeom prst="roundRect">
          <a:avLst/>
        </a:prstGeom>
        <a:solidFill>
          <a:srgbClr val="6F42C1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Update Existing Delivery List</a:t>
          </a:r>
        </a:p>
      </xdr:txBody>
    </xdr:sp>
    <xdr:clientData fLocksWithSheet="0"/>
  </xdr:twoCellAnchor>
  <xdr:twoCellAnchor editAs="absolute">
    <xdr:from>
      <xdr:col>7</xdr:col>
      <xdr:colOff>565150</xdr:colOff>
      <xdr:row>13</xdr:row>
      <xdr:rowOff>120650</xdr:rowOff>
    </xdr:from>
    <xdr:to>
      <xdr:col>10</xdr:col>
      <xdr:colOff>415925</xdr:colOff>
      <xdr:row>15</xdr:row>
      <xdr:rowOff>31750</xdr:rowOff>
    </xdr:to>
    <xdr:sp macro="[0]!SaveCopyForSharePoint" textlink="">
      <xdr:nvSpPr>
        <xdr:cNvPr id="1919" name="btnHomeSave">
          <a:extLst>
            <a:ext uri="{FF2B5EF4-FFF2-40B4-BE49-F238E27FC236}">
              <a16:creationId xmlns:a16="http://schemas.microsoft.com/office/drawing/2014/main" id="{5F72E822-A847-FCB6-9836-4537D4ACDB3F}"/>
            </a:ext>
          </a:extLst>
        </xdr:cNvPr>
        <xdr:cNvSpPr/>
      </xdr:nvSpPr>
      <xdr:spPr>
        <a:xfrm>
          <a:off x="4899025" y="4464050"/>
          <a:ext cx="2794000" cy="4445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Save Copy for SharePoint (.xlsm)</a:t>
          </a:r>
        </a:p>
      </xdr:txBody>
    </xdr:sp>
    <xdr:clientData fLocksWithSheet="0"/>
  </xdr:twoCellAnchor>
  <xdr:twoCellAnchor editAs="absolute">
    <xdr:from>
      <xdr:col>7</xdr:col>
      <xdr:colOff>565150</xdr:colOff>
      <xdr:row>15</xdr:row>
      <xdr:rowOff>120650</xdr:rowOff>
    </xdr:from>
    <xdr:to>
      <xdr:col>10</xdr:col>
      <xdr:colOff>415925</xdr:colOff>
      <xdr:row>17</xdr:row>
      <xdr:rowOff>31750</xdr:rowOff>
    </xdr:to>
    <xdr:sp macro="[0]!SyncDeliveryListToScannerSheets" textlink="">
      <xdr:nvSpPr>
        <xdr:cNvPr id="1920" name="btnHomeSync">
          <a:extLst>
            <a:ext uri="{FF2B5EF4-FFF2-40B4-BE49-F238E27FC236}">
              <a16:creationId xmlns:a16="http://schemas.microsoft.com/office/drawing/2014/main" id="{EE54FA56-F56E-624F-AE91-D75E899BF2BF}"/>
            </a:ext>
          </a:extLst>
        </xdr:cNvPr>
        <xdr:cNvSpPr/>
      </xdr:nvSpPr>
      <xdr:spPr>
        <a:xfrm>
          <a:off x="4899025" y="4997450"/>
          <a:ext cx="2794000" cy="444500"/>
        </a:xfrm>
        <a:prstGeom prst="roundRect">
          <a:avLst/>
        </a:prstGeom>
        <a:solidFill>
          <a:srgbClr val="8E44A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Sync to Scanner Sheets</a:t>
          </a:r>
        </a:p>
      </xdr:txBody>
    </xdr:sp>
    <xdr:clientData fLocksWithSheet="0"/>
  </xdr:twoCellAnchor>
  <xdr:twoCellAnchor editAs="absolute">
    <xdr:from>
      <xdr:col>7</xdr:col>
      <xdr:colOff>565150</xdr:colOff>
      <xdr:row>17</xdr:row>
      <xdr:rowOff>120650</xdr:rowOff>
    </xdr:from>
    <xdr:to>
      <xdr:col>10</xdr:col>
      <xdr:colOff>415925</xdr:colOff>
      <xdr:row>19</xdr:row>
      <xdr:rowOff>31750</xdr:rowOff>
    </xdr:to>
    <xdr:sp macro="[0]!OpenDeliveryListForEditing" textlink="">
      <xdr:nvSpPr>
        <xdr:cNvPr id="1921" name="btnGoDeliveryListEdit">
          <a:extLst>
            <a:ext uri="{FF2B5EF4-FFF2-40B4-BE49-F238E27FC236}">
              <a16:creationId xmlns:a16="http://schemas.microsoft.com/office/drawing/2014/main" id="{3FDA6C14-2977-D44E-AD66-2E2626A96F4C}"/>
            </a:ext>
          </a:extLst>
        </xdr:cNvPr>
        <xdr:cNvSpPr/>
      </xdr:nvSpPr>
      <xdr:spPr>
        <a:xfrm>
          <a:off x="4899025" y="5530850"/>
          <a:ext cx="2794000" cy="444500"/>
        </a:xfrm>
        <a:prstGeom prst="roundRect">
          <a:avLst/>
        </a:prstGeom>
        <a:solidFill>
          <a:srgbClr val="C08000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Delivery List (Edit)</a:t>
          </a:r>
        </a:p>
      </xdr:txBody>
    </xdr:sp>
    <xdr:clientData fLocksWithSheet="0"/>
  </xdr:twoCellAnchor>
  <xdr:twoCellAnchor editAs="absolute">
    <xdr:from>
      <xdr:col>7</xdr:col>
      <xdr:colOff>565150</xdr:colOff>
      <xdr:row>19</xdr:row>
      <xdr:rowOff>120650</xdr:rowOff>
    </xdr:from>
    <xdr:to>
      <xdr:col>10</xdr:col>
      <xdr:colOff>415925</xdr:colOff>
      <xdr:row>21</xdr:row>
      <xdr:rowOff>31750</xdr:rowOff>
    </xdr:to>
    <xdr:sp macro="[0]!PrintDeliveryListBySection" textlink="">
      <xdr:nvSpPr>
        <xdr:cNvPr id="1922" name="btnHomePrintDelivery">
          <a:extLst>
            <a:ext uri="{FF2B5EF4-FFF2-40B4-BE49-F238E27FC236}">
              <a16:creationId xmlns:a16="http://schemas.microsoft.com/office/drawing/2014/main" id="{626E334D-D170-C623-65C3-7A167C839535}"/>
            </a:ext>
          </a:extLst>
        </xdr:cNvPr>
        <xdr:cNvSpPr/>
      </xdr:nvSpPr>
      <xdr:spPr>
        <a:xfrm>
          <a:off x="4899025" y="6064250"/>
          <a:ext cx="2794000" cy="444500"/>
        </a:xfrm>
        <a:prstGeom prst="roundRect">
          <a:avLst/>
        </a:prstGeom>
        <a:solidFill>
          <a:srgbClr val="34495E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Print Delivery List</a:t>
          </a:r>
        </a:p>
      </xdr:txBody>
    </xdr:sp>
    <xdr:clientData fLocksWithSheet="0"/>
  </xdr:twoCellAnchor>
  <xdr:twoCellAnchor editAs="absolute">
    <xdr:from>
      <xdr:col>13</xdr:col>
      <xdr:colOff>565150</xdr:colOff>
      <xdr:row>9</xdr:row>
      <xdr:rowOff>120650</xdr:rowOff>
    </xdr:from>
    <xdr:to>
      <xdr:col>16</xdr:col>
      <xdr:colOff>415925</xdr:colOff>
      <xdr:row>11</xdr:row>
      <xdr:rowOff>31750</xdr:rowOff>
    </xdr:to>
    <xdr:sp macro="[0]!GoToDeliveryList" textlink="">
      <xdr:nvSpPr>
        <xdr:cNvPr id="1923" name="btnGoDeliveryList">
          <a:extLst>
            <a:ext uri="{FF2B5EF4-FFF2-40B4-BE49-F238E27FC236}">
              <a16:creationId xmlns:a16="http://schemas.microsoft.com/office/drawing/2014/main" id="{FD39BA02-CFA1-42AB-514A-2B9086E9B22E}"/>
            </a:ext>
          </a:extLst>
        </xdr:cNvPr>
        <xdr:cNvSpPr/>
      </xdr:nvSpPr>
      <xdr:spPr>
        <a:xfrm>
          <a:off x="9451975" y="33972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- Delivery List</a:t>
          </a:r>
        </a:p>
      </xdr:txBody>
    </xdr:sp>
    <xdr:clientData fLocksWithSheet="0"/>
  </xdr:twoCellAnchor>
  <xdr:twoCellAnchor editAs="absolute">
    <xdr:from>
      <xdr:col>13</xdr:col>
      <xdr:colOff>565150</xdr:colOff>
      <xdr:row>11</xdr:row>
      <xdr:rowOff>120650</xdr:rowOff>
    </xdr:from>
    <xdr:to>
      <xdr:col>16</xdr:col>
      <xdr:colOff>415925</xdr:colOff>
      <xdr:row>13</xdr:row>
      <xdr:rowOff>31750</xdr:rowOff>
    </xdr:to>
    <xdr:sp macro="[0]!GoToAirportRd" textlink="">
      <xdr:nvSpPr>
        <xdr:cNvPr id="1924" name="btnGoAirportRd">
          <a:extLst>
            <a:ext uri="{FF2B5EF4-FFF2-40B4-BE49-F238E27FC236}">
              <a16:creationId xmlns:a16="http://schemas.microsoft.com/office/drawing/2014/main" id="{FEE78051-7A40-1491-BA01-AB7036022151}"/>
            </a:ext>
          </a:extLst>
        </xdr:cNvPr>
        <xdr:cNvSpPr/>
      </xdr:nvSpPr>
      <xdr:spPr>
        <a:xfrm>
          <a:off x="9451975" y="39306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Outbound - Airport Rd</a:t>
          </a:r>
        </a:p>
      </xdr:txBody>
    </xdr:sp>
    <xdr:clientData fLocksWithSheet="0"/>
  </xdr:twoCellAnchor>
  <xdr:twoCellAnchor editAs="absolute">
    <xdr:from>
      <xdr:col>13</xdr:col>
      <xdr:colOff>565150</xdr:colOff>
      <xdr:row>13</xdr:row>
      <xdr:rowOff>120650</xdr:rowOff>
    </xdr:from>
    <xdr:to>
      <xdr:col>16</xdr:col>
      <xdr:colOff>415925</xdr:colOff>
      <xdr:row>15</xdr:row>
      <xdr:rowOff>31750</xdr:rowOff>
    </xdr:to>
    <xdr:sp macro="[0]!GoToReceiveSheet" textlink="">
      <xdr:nvSpPr>
        <xdr:cNvPr id="1925" name="btnGoReceiveSheet">
          <a:extLst>
            <a:ext uri="{FF2B5EF4-FFF2-40B4-BE49-F238E27FC236}">
              <a16:creationId xmlns:a16="http://schemas.microsoft.com/office/drawing/2014/main" id="{60152936-36DD-D9A4-BCE2-A0A2E7CF2A04}"/>
            </a:ext>
          </a:extLst>
        </xdr:cNvPr>
        <xdr:cNvSpPr/>
      </xdr:nvSpPr>
      <xdr:spPr>
        <a:xfrm>
          <a:off x="9451975" y="44640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Inbound - Indian Trail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81855</xdr:colOff>
      <xdr:row>2</xdr:row>
      <xdr:rowOff>957878</xdr:rowOff>
    </xdr:to>
    <xdr:pic>
      <xdr:nvPicPr>
        <xdr:cNvPr id="2" name="Picture 65537">
          <a:extLst>
            <a:ext uri="{FF2B5EF4-FFF2-40B4-BE49-F238E27FC236}">
              <a16:creationId xmlns:a16="http://schemas.microsoft.com/office/drawing/2014/main" id="{F63B780D-FE7E-473E-B06E-9678731FE7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5AD1-CBC5-415D-90A4-2209EB22DB27}">
  <sheetPr codeName="Sheet6">
    <pageSetUpPr autoPageBreaks="0"/>
  </sheetPr>
  <dimension ref="H1:AA35"/>
  <sheetViews>
    <sheetView showGridLines="0" workbookViewId="0">
      <selection activeCell="M13" sqref="M13"/>
    </sheetView>
  </sheetViews>
  <sheetFormatPr defaultRowHeight="12.75" x14ac:dyDescent="0.2"/>
  <cols>
    <col min="1" max="5" width="10.7109375" style="3" customWidth="1"/>
    <col min="6" max="7" width="5.7109375" style="3" customWidth="1"/>
    <col min="8" max="11" width="14.7109375" style="3" customWidth="1"/>
    <col min="12" max="13" width="4.7109375" style="3" customWidth="1"/>
    <col min="14" max="17" width="14.7109375" style="3" customWidth="1"/>
    <col min="18" max="19" width="4.7109375" style="3" customWidth="1"/>
    <col min="20" max="25" width="9.140625" style="3"/>
    <col min="26" max="27" width="9.140625" style="3" hidden="1" customWidth="1"/>
    <col min="28" max="16384" width="9.140625" style="3"/>
  </cols>
  <sheetData>
    <row r="1" spans="8:17" ht="21.95" customHeight="1" x14ac:dyDescent="0.2"/>
    <row r="2" spans="8:17" ht="38.1" customHeight="1" x14ac:dyDescent="0.2">
      <c r="H2" s="4" t="s">
        <v>32</v>
      </c>
      <c r="I2" s="4"/>
      <c r="J2" s="4"/>
      <c r="K2" s="4"/>
      <c r="L2" s="4"/>
      <c r="M2" s="4"/>
      <c r="N2" s="4"/>
      <c r="O2" s="4"/>
      <c r="P2" s="4"/>
      <c r="Q2" s="4"/>
    </row>
    <row r="3" spans="8:17" ht="36" customHeight="1" x14ac:dyDescent="0.2">
      <c r="H3" s="4"/>
      <c r="I3" s="4"/>
      <c r="J3" s="4"/>
      <c r="K3" s="4"/>
      <c r="L3" s="4"/>
      <c r="M3" s="4"/>
      <c r="N3" s="4"/>
      <c r="O3" s="4"/>
      <c r="P3" s="4"/>
      <c r="Q3" s="4"/>
    </row>
    <row r="4" spans="8:17" ht="21.95" customHeight="1" x14ac:dyDescent="0.2"/>
    <row r="5" spans="8:17" ht="24" customHeight="1" x14ac:dyDescent="0.2">
      <c r="H5" s="5" t="s">
        <v>37</v>
      </c>
      <c r="I5" s="5"/>
      <c r="J5" s="5"/>
      <c r="K5" s="5"/>
      <c r="L5" s="5"/>
      <c r="M5" s="5"/>
      <c r="N5" s="5"/>
      <c r="O5" s="5"/>
      <c r="P5" s="5"/>
      <c r="Q5" s="5"/>
    </row>
    <row r="6" spans="8:17" ht="33.950000000000003" customHeight="1" x14ac:dyDescent="0.2">
      <c r="H6" s="5"/>
      <c r="I6" s="5"/>
      <c r="J6" s="5"/>
      <c r="K6" s="5"/>
      <c r="L6" s="5"/>
      <c r="M6" s="5"/>
      <c r="N6" s="5"/>
      <c r="O6" s="5"/>
      <c r="P6" s="5"/>
      <c r="Q6" s="5"/>
    </row>
    <row r="7" spans="8:17" ht="33.950000000000003" customHeight="1" x14ac:dyDescent="0.2">
      <c r="H7" s="5"/>
      <c r="I7" s="5"/>
      <c r="J7" s="5"/>
      <c r="K7" s="5"/>
      <c r="L7" s="5"/>
      <c r="M7" s="5"/>
      <c r="N7" s="5"/>
      <c r="O7" s="5"/>
      <c r="P7" s="5"/>
      <c r="Q7" s="5"/>
    </row>
    <row r="8" spans="8:17" ht="21.95" customHeight="1" x14ac:dyDescent="0.2"/>
    <row r="9" spans="8:17" ht="27.95" customHeight="1" x14ac:dyDescent="0.2">
      <c r="H9" s="6" t="s">
        <v>30</v>
      </c>
      <c r="I9" s="6"/>
      <c r="J9" s="6"/>
      <c r="K9" s="6"/>
      <c r="N9" s="6" t="s">
        <v>31</v>
      </c>
      <c r="O9" s="6"/>
      <c r="P9" s="6"/>
      <c r="Q9" s="6"/>
    </row>
    <row r="10" spans="8:17" ht="12" customHeight="1" x14ac:dyDescent="0.2"/>
    <row r="11" spans="8:17" ht="30" customHeight="1" x14ac:dyDescent="0.2"/>
    <row r="12" spans="8:17" ht="12" customHeight="1" x14ac:dyDescent="0.2"/>
    <row r="13" spans="8:17" ht="30" customHeight="1" x14ac:dyDescent="0.2"/>
    <row r="14" spans="8:17" ht="12" customHeight="1" x14ac:dyDescent="0.2"/>
    <row r="15" spans="8:17" ht="30" customHeight="1" x14ac:dyDescent="0.2"/>
    <row r="16" spans="8:17" ht="12" customHeight="1" x14ac:dyDescent="0.2"/>
    <row r="17" s="3" customFormat="1" ht="30" customHeight="1" x14ac:dyDescent="0.2"/>
    <row r="18" s="3" customFormat="1" ht="12" customHeight="1" x14ac:dyDescent="0.2"/>
    <row r="19" s="3" customFormat="1" ht="30" customHeight="1" x14ac:dyDescent="0.2"/>
    <row r="20" s="3" customFormat="1" ht="12" customHeight="1" x14ac:dyDescent="0.2"/>
    <row r="21" s="3" customFormat="1" ht="30" customHeight="1" x14ac:dyDescent="0.2"/>
    <row r="22" s="3" customFormat="1" ht="21.95" customHeight="1" x14ac:dyDescent="0.2"/>
    <row r="23" s="3" customFormat="1" ht="21.95" customHeight="1" x14ac:dyDescent="0.2"/>
    <row r="24" s="3" customFormat="1" ht="21.95" customHeight="1" x14ac:dyDescent="0.2"/>
    <row r="25" s="3" customFormat="1" ht="21.95" customHeight="1" x14ac:dyDescent="0.2"/>
    <row r="26" s="3" customFormat="1" ht="21.95" customHeight="1" x14ac:dyDescent="0.2"/>
    <row r="27" s="3" customFormat="1" ht="21.95" customHeight="1" x14ac:dyDescent="0.2"/>
    <row r="28" s="3" customFormat="1" ht="21.95" customHeight="1" x14ac:dyDescent="0.2"/>
    <row r="29" s="3" customFormat="1" ht="21.95" customHeight="1" x14ac:dyDescent="0.2"/>
    <row r="30" s="3" customFormat="1" ht="21.95" customHeight="1" x14ac:dyDescent="0.2"/>
    <row r="31" s="3" customFormat="1" ht="21.95" customHeight="1" x14ac:dyDescent="0.2"/>
    <row r="32" s="3" customFormat="1" ht="21.95" customHeight="1" x14ac:dyDescent="0.2"/>
    <row r="33" s="3" customFormat="1" ht="21.95" customHeight="1" x14ac:dyDescent="0.2"/>
    <row r="34" s="3" customFormat="1" ht="21.95" customHeight="1" x14ac:dyDescent="0.2"/>
    <row r="35" s="3" customFormat="1" ht="21.95" customHeight="1" x14ac:dyDescent="0.2"/>
  </sheetData>
  <sheetProtection sheet="1" scenarios="1"/>
  <mergeCells count="4">
    <mergeCell ref="H2:Q3"/>
    <mergeCell ref="H5:Q7"/>
    <mergeCell ref="H9:K9"/>
    <mergeCell ref="N9:Q9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30BA-EE19-4F33-AF90-938719F416F6}">
  <sheetPr codeName="Sheet2">
    <outlinePr summaryBelow="0" summaryRight="0"/>
    <pageSetUpPr autoPageBreaks="0"/>
  </sheetPr>
  <dimension ref="A1:AV40"/>
  <sheetViews>
    <sheetView workbookViewId="0">
      <pane ySplit="2" topLeftCell="A3" activePane="bottomLeft" state="frozenSplit"/>
      <selection pane="bottomLeft"/>
    </sheetView>
  </sheetViews>
  <sheetFormatPr defaultColWidth="6.85546875" defaultRowHeight="12.75" customHeight="1" x14ac:dyDescent="0.2"/>
  <cols>
    <col min="1" max="1" width="19" style="3" customWidth="1"/>
    <col min="2" max="2" width="1.5703125" style="3" customWidth="1"/>
    <col min="3" max="3" width="4.5703125" style="3" customWidth="1"/>
    <col min="4" max="4" width="3.42578125" style="3" customWidth="1"/>
    <col min="5" max="5" width="10.7109375" style="3" customWidth="1"/>
    <col min="6" max="6" width="8.140625" style="3" bestFit="1" customWidth="1"/>
    <col min="7" max="7" width="6.7109375" style="3" customWidth="1"/>
    <col min="8" max="8" width="15.140625" style="3" bestFit="1" customWidth="1"/>
    <col min="9" max="9" width="16.7109375" style="3" customWidth="1"/>
    <col min="10" max="10" width="18.28515625" style="3" customWidth="1"/>
    <col min="11" max="12" width="3.7109375" style="3" customWidth="1"/>
    <col min="13" max="13" width="8.7109375" style="3" customWidth="1"/>
    <col min="14" max="14" width="2.7109375" style="3" customWidth="1"/>
    <col min="15" max="15" width="18.7109375" style="27" customWidth="1"/>
    <col min="16" max="16" width="20.7109375" style="28" customWidth="1"/>
    <col min="17" max="17" width="12.7109375" style="28" customWidth="1"/>
    <col min="18" max="18" width="10.7109375" style="28" customWidth="1"/>
    <col min="19" max="19" width="16.7109375" style="28" customWidth="1"/>
    <col min="20" max="20" width="25.7109375" style="29" customWidth="1"/>
    <col min="21" max="22" width="15.7109375" style="28" customWidth="1"/>
    <col min="23" max="23" width="20.7109375" style="28" customWidth="1"/>
    <col min="24" max="24" width="18.7109375" style="27" customWidth="1"/>
    <col min="25" max="27" width="20.7109375" style="28" customWidth="1"/>
    <col min="28" max="28" width="16.7109375" style="28" customWidth="1"/>
    <col min="29" max="29" width="25.7109375" style="29" customWidth="1"/>
    <col min="30" max="30" width="20.7109375" style="28" customWidth="1"/>
    <col min="31" max="31" width="2.7109375" style="28" hidden="1" customWidth="1"/>
    <col min="32" max="32" width="20.7109375" style="28" customWidth="1"/>
    <col min="33" max="33" width="15.7109375" style="28" customWidth="1"/>
    <col min="34" max="40" width="6.85546875" style="3" customWidth="1"/>
    <col min="41" max="41" width="18.7109375" style="27" customWidth="1"/>
    <col min="42" max="42" width="20.7109375" style="28" customWidth="1"/>
    <col min="43" max="43" width="12.7109375" style="28" customWidth="1"/>
    <col min="44" max="44" width="10.7109375" style="28" customWidth="1"/>
    <col min="45" max="45" width="16.7109375" style="28" customWidth="1"/>
    <col min="46" max="46" width="25.7109375" style="28" customWidth="1"/>
    <col min="47" max="47" width="15.7109375" style="28" customWidth="1"/>
    <col min="48" max="48" width="20.7109375" style="28" customWidth="1"/>
    <col min="49" max="16384" width="6.85546875" style="3" customWidth="1"/>
  </cols>
  <sheetData>
    <row r="1" spans="1:48" ht="6.75" customHeight="1" x14ac:dyDescent="0.2"/>
    <row r="2" spans="1:48" ht="24" customHeight="1" x14ac:dyDescent="0.2">
      <c r="D2" s="14" t="s">
        <v>0</v>
      </c>
      <c r="E2" s="14"/>
      <c r="F2" s="14"/>
      <c r="G2" s="14"/>
      <c r="H2" s="14"/>
      <c r="I2" s="15" t="s">
        <v>49</v>
      </c>
      <c r="J2" s="15"/>
      <c r="K2" s="15"/>
      <c r="L2" s="15"/>
      <c r="O2" s="38" t="str">
        <f ca="1">"Outbound: "&amp;SUMPRODUCT(SUBTOTAL(103,OFFSET($E$6,ROW($E$6:$E$37)-ROW($E$6),0,1)),--($U$6:$U$37="OK"),--($E$6:$E$37&lt;&gt;""))&amp;"/"&amp;SUMPRODUCT(SUBTOTAL(103,OFFSET($E$6,ROW($E$6:$E$37)-ROW($E$6),0,1)),--($E$6:$E$37&lt;&gt;""))&amp;" • "&amp;TEXT(IFERROR(SUMPRODUCT(SUBTOTAL(103,OFFSET($E$6,ROW($E$6:$E$37)-ROW($E$6),0,1)),--((($V$6:$V$37="On-Time")+($V$6:$V$37="Early"))&gt;0),--($E$6:$E$37&lt;&gt;""))/SUMPRODUCT(SUBTOTAL(103,OFFSET($E$6,ROW($E$6:$E$37)-ROW($E$6),0,1)),--($E$6:$E$37&lt;&gt;"")),0),"0.0%")&amp;" On Time"</f>
        <v>Outbound: 0/28 • 0.0% On Time</v>
      </c>
      <c r="P2" s="38"/>
      <c r="Q2" s="38"/>
      <c r="R2" s="38"/>
      <c r="S2" s="38"/>
      <c r="T2" s="38"/>
      <c r="U2" s="38"/>
      <c r="V2" s="38"/>
      <c r="W2" s="38"/>
      <c r="X2" s="39" t="str">
        <f ca="1">"Inbound: "&amp;SUMPRODUCT(SUBTOTAL(103,OFFSET($E$6,ROW($E$6:$E$37)-ROW($E$6),0,1)),--($AD$6:$AD$37="Received"),--($E$6:$E$37&lt;&gt;""))&amp;"/"&amp;SUMPRODUCT(SUBTOTAL(103,OFFSET($E$6,ROW($E$6:$E$37)-ROW($E$6),0,1)),--($E$6:$E$37&lt;&gt;""))&amp;" • "&amp;TEXT(IFERROR(SUMPRODUCT(SUBTOTAL(103,OFFSET($E$6,ROW($E$6:$E$37)-ROW($E$6),0,1)),--($AD$6:$AD$37="Received"),--($E$6:$E$37&lt;&gt;""))/SUMPRODUCT(SUBTOTAL(103,OFFSET($E$6,ROW($E$6:$E$37)-ROW($E$6),0,1)),--($E$6:$E$37&lt;&gt;"")),0),"0.0%")&amp;" Complete"</f>
        <v>Inbound: 0/28 • 0.0% Complete</v>
      </c>
      <c r="Y2" s="39"/>
      <c r="Z2" s="39"/>
      <c r="AA2" s="39"/>
      <c r="AB2" s="39"/>
      <c r="AC2" s="39"/>
      <c r="AD2" s="39"/>
      <c r="AE2" s="39"/>
      <c r="AF2" s="39"/>
      <c r="AG2" s="39"/>
      <c r="AO2" s="40" t="str">
        <f ca="1">"Staged: "&amp;SUMPRODUCT(SUBTOTAL(103,OFFSET($E$6,ROW($E$6:$E$37)-ROW($E$6),0,1)),--($AU$6:$AU$37="OK"),--($E$6:$E$37&lt;&gt;""))&amp;"/"&amp;SUMPRODUCT(SUBTOTAL(103,OFFSET($E$6,ROW($E$6:$E$37)-ROW($E$6),0,1)),--($E$6:$E$37&lt;&gt;""))&amp;" • "&amp;TEXT(IFERROR(SUMPRODUCT(SUBTOTAL(103,OFFSET($E$6,ROW($E$6:$E$37)-ROW($E$6),0,1)),--($AU$6:$AU$37="OK"),--($E$6:$E$37&lt;&gt;""))/SUMPRODUCT(SUBTOTAL(103,OFFSET($E$6,ROW($E$6:$E$37)-ROW($E$6),0,1)),--($E$6:$E$37&lt;&gt;"")),0),"0.0%")&amp;" Complete"</f>
        <v>Staged: 0/28 • 0.0% Complete</v>
      </c>
      <c r="AP2" s="40"/>
      <c r="AQ2" s="40"/>
      <c r="AR2" s="40"/>
      <c r="AS2" s="40"/>
      <c r="AT2" s="40"/>
      <c r="AU2" s="40"/>
      <c r="AV2" s="40"/>
    </row>
    <row r="3" spans="1:48" ht="85.5" customHeight="1" x14ac:dyDescent="0.2">
      <c r="O3" s="34" t="s">
        <v>33</v>
      </c>
      <c r="P3" s="35"/>
      <c r="Q3" s="35"/>
      <c r="R3" s="35"/>
      <c r="S3" s="35"/>
      <c r="T3" s="35"/>
      <c r="U3" s="35"/>
      <c r="V3" s="35"/>
      <c r="W3" s="35"/>
      <c r="X3" s="34" t="s">
        <v>35</v>
      </c>
      <c r="Y3" s="35"/>
      <c r="Z3" s="35"/>
      <c r="AA3" s="35"/>
      <c r="AB3" s="35"/>
      <c r="AC3" s="35"/>
      <c r="AD3" s="35"/>
      <c r="AE3" s="35"/>
      <c r="AF3" s="35"/>
      <c r="AG3" s="35"/>
      <c r="AO3" s="34" t="s">
        <v>34</v>
      </c>
      <c r="AP3" s="35"/>
      <c r="AQ3" s="35"/>
      <c r="AR3" s="35"/>
      <c r="AS3" s="35"/>
      <c r="AT3" s="35"/>
      <c r="AU3" s="35"/>
      <c r="AV3" s="35"/>
    </row>
    <row r="4" spans="1:48" ht="20.100000000000001" customHeight="1" x14ac:dyDescent="0.2">
      <c r="O4" s="30" t="s">
        <v>9</v>
      </c>
      <c r="P4" s="31"/>
      <c r="X4" s="30" t="s">
        <v>9</v>
      </c>
      <c r="Y4" s="31"/>
      <c r="AO4" s="30" t="s">
        <v>9</v>
      </c>
      <c r="AP4" s="31"/>
      <c r="AT4" s="29"/>
    </row>
    <row r="5" spans="1:48" ht="15" customHeight="1" x14ac:dyDescent="0.2">
      <c r="A5" s="16" t="s">
        <v>1</v>
      </c>
      <c r="B5" s="16"/>
      <c r="C5" s="16"/>
      <c r="D5" s="16"/>
      <c r="E5" s="17" t="s">
        <v>2</v>
      </c>
      <c r="F5" s="18" t="s">
        <v>3</v>
      </c>
      <c r="G5" s="18" t="s">
        <v>4</v>
      </c>
      <c r="H5" s="17" t="s">
        <v>5</v>
      </c>
      <c r="I5" s="16" t="s">
        <v>6</v>
      </c>
      <c r="J5" s="16"/>
      <c r="L5" s="19" t="s">
        <v>44</v>
      </c>
      <c r="M5" s="19"/>
      <c r="P5" s="32" t="s">
        <v>10</v>
      </c>
      <c r="Q5" s="32" t="s">
        <v>2</v>
      </c>
      <c r="R5" s="32" t="s">
        <v>3</v>
      </c>
      <c r="S5" s="32" t="s">
        <v>11</v>
      </c>
      <c r="T5" s="33" t="s">
        <v>12</v>
      </c>
      <c r="U5" s="32" t="s">
        <v>13</v>
      </c>
      <c r="V5" s="32" t="s">
        <v>14</v>
      </c>
      <c r="W5" s="32" t="s">
        <v>15</v>
      </c>
      <c r="Y5" s="32" t="s">
        <v>16</v>
      </c>
      <c r="Z5" s="32" t="s">
        <v>17</v>
      </c>
      <c r="AA5" s="32" t="s">
        <v>18</v>
      </c>
      <c r="AB5" s="32" t="s">
        <v>19</v>
      </c>
      <c r="AC5" s="33" t="s">
        <v>20</v>
      </c>
      <c r="AD5" s="32" t="s">
        <v>21</v>
      </c>
      <c r="AE5" s="32"/>
      <c r="AF5" s="32" t="s">
        <v>15</v>
      </c>
      <c r="AG5" s="32" t="s">
        <v>22</v>
      </c>
      <c r="AP5" s="32" t="s">
        <v>10</v>
      </c>
      <c r="AQ5" s="32" t="s">
        <v>2</v>
      </c>
      <c r="AR5" s="32" t="s">
        <v>3</v>
      </c>
      <c r="AS5" s="32" t="s">
        <v>11</v>
      </c>
      <c r="AT5" s="32" t="s">
        <v>12</v>
      </c>
      <c r="AU5" s="32" t="s">
        <v>13</v>
      </c>
      <c r="AV5" s="32" t="s">
        <v>15</v>
      </c>
    </row>
    <row r="6" spans="1:48" ht="8.25" customHeight="1" x14ac:dyDescent="0.2"/>
    <row r="7" spans="1:48" ht="13.5" customHeight="1" x14ac:dyDescent="0.2">
      <c r="A7" s="20" t="s">
        <v>50</v>
      </c>
    </row>
    <row r="8" spans="1:48" ht="13.5" customHeight="1" x14ac:dyDescent="0.2">
      <c r="A8" s="21" t="s">
        <v>51</v>
      </c>
      <c r="B8" s="21"/>
      <c r="C8" s="21"/>
      <c r="D8" s="21"/>
      <c r="E8" s="22">
        <v>231588</v>
      </c>
      <c r="F8" s="23">
        <v>1</v>
      </c>
      <c r="G8" s="23">
        <v>1</v>
      </c>
      <c r="H8" s="24" t="s">
        <v>52</v>
      </c>
      <c r="I8" s="21" t="s">
        <v>23</v>
      </c>
      <c r="J8" s="21"/>
    </row>
    <row r="9" spans="1:48" ht="13.5" customHeight="1" x14ac:dyDescent="0.2">
      <c r="A9" s="21" t="s">
        <v>51</v>
      </c>
      <c r="B9" s="21"/>
      <c r="C9" s="21"/>
      <c r="D9" s="21"/>
      <c r="E9" s="22">
        <v>231588</v>
      </c>
      <c r="F9" s="23">
        <v>2</v>
      </c>
      <c r="G9" s="23">
        <v>1</v>
      </c>
      <c r="H9" s="24" t="s">
        <v>53</v>
      </c>
      <c r="I9" s="21" t="s">
        <v>23</v>
      </c>
      <c r="J9" s="21"/>
    </row>
    <row r="10" spans="1:48" ht="13.5" customHeight="1" x14ac:dyDescent="0.2">
      <c r="A10" s="21" t="s">
        <v>51</v>
      </c>
      <c r="B10" s="21"/>
      <c r="C10" s="21"/>
      <c r="D10" s="21"/>
      <c r="E10" s="22">
        <v>231588</v>
      </c>
      <c r="F10" s="23">
        <v>3</v>
      </c>
      <c r="G10" s="23">
        <v>1</v>
      </c>
      <c r="H10" s="24" t="s">
        <v>54</v>
      </c>
      <c r="I10" s="21" t="s">
        <v>23</v>
      </c>
      <c r="J10" s="21"/>
    </row>
    <row r="11" spans="1:48" ht="13.5" customHeight="1" x14ac:dyDescent="0.2">
      <c r="A11" s="20" t="s">
        <v>7</v>
      </c>
    </row>
    <row r="12" spans="1:48" ht="13.5" customHeight="1" x14ac:dyDescent="0.2">
      <c r="A12" s="21" t="s">
        <v>55</v>
      </c>
      <c r="B12" s="21"/>
      <c r="C12" s="21"/>
      <c r="D12" s="21"/>
      <c r="E12" s="22">
        <v>231555</v>
      </c>
      <c r="F12" s="23">
        <v>1</v>
      </c>
      <c r="G12" s="23">
        <v>1</v>
      </c>
      <c r="H12" s="24" t="s">
        <v>56</v>
      </c>
      <c r="I12" s="21" t="s">
        <v>48</v>
      </c>
      <c r="J12" s="21"/>
    </row>
    <row r="13" spans="1:48" ht="13.5" customHeight="1" x14ac:dyDescent="0.2">
      <c r="A13" s="21" t="s">
        <v>57</v>
      </c>
      <c r="B13" s="21"/>
      <c r="C13" s="21"/>
      <c r="D13" s="21"/>
      <c r="E13" s="22">
        <v>231563</v>
      </c>
      <c r="F13" s="23">
        <v>1</v>
      </c>
      <c r="G13" s="23">
        <v>1</v>
      </c>
      <c r="H13" s="24" t="s">
        <v>45</v>
      </c>
      <c r="I13" s="21" t="s">
        <v>42</v>
      </c>
      <c r="J13" s="21"/>
    </row>
    <row r="14" spans="1:48" ht="13.5" customHeight="1" x14ac:dyDescent="0.2">
      <c r="A14" s="21" t="s">
        <v>57</v>
      </c>
      <c r="B14" s="21"/>
      <c r="C14" s="21"/>
      <c r="D14" s="21"/>
      <c r="E14" s="22">
        <v>231563</v>
      </c>
      <c r="F14" s="23">
        <v>2</v>
      </c>
      <c r="G14" s="23">
        <v>1</v>
      </c>
      <c r="H14" s="24" t="s">
        <v>46</v>
      </c>
      <c r="I14" s="21" t="s">
        <v>42</v>
      </c>
      <c r="J14" s="21"/>
    </row>
    <row r="15" spans="1:48" ht="13.5" customHeight="1" x14ac:dyDescent="0.2">
      <c r="A15" s="20" t="s">
        <v>8</v>
      </c>
    </row>
    <row r="16" spans="1:48" ht="13.5" customHeight="1" x14ac:dyDescent="0.2">
      <c r="A16" s="21" t="s">
        <v>58</v>
      </c>
      <c r="B16" s="21"/>
      <c r="C16" s="21"/>
      <c r="D16" s="21"/>
      <c r="E16" s="22">
        <v>231538</v>
      </c>
      <c r="F16" s="23">
        <v>1</v>
      </c>
      <c r="G16" s="23">
        <v>1</v>
      </c>
      <c r="H16" s="24" t="s">
        <v>59</v>
      </c>
      <c r="I16" s="21" t="s">
        <v>60</v>
      </c>
      <c r="J16" s="21"/>
    </row>
    <row r="17" spans="1:10" ht="13.5" customHeight="1" x14ac:dyDescent="0.2">
      <c r="A17" s="21" t="s">
        <v>61</v>
      </c>
      <c r="B17" s="21"/>
      <c r="C17" s="21"/>
      <c r="D17" s="21"/>
      <c r="E17" s="22">
        <v>231572</v>
      </c>
      <c r="F17" s="23">
        <v>1</v>
      </c>
      <c r="G17" s="23">
        <v>1</v>
      </c>
      <c r="H17" s="24" t="s">
        <v>62</v>
      </c>
      <c r="I17" s="21" t="s">
        <v>48</v>
      </c>
      <c r="J17" s="21"/>
    </row>
    <row r="18" spans="1:10" ht="13.5" customHeight="1" x14ac:dyDescent="0.2">
      <c r="A18" s="21" t="s">
        <v>61</v>
      </c>
      <c r="B18" s="21"/>
      <c r="C18" s="21"/>
      <c r="D18" s="21"/>
      <c r="E18" s="22">
        <v>231572</v>
      </c>
      <c r="F18" s="23">
        <v>2</v>
      </c>
      <c r="G18" s="23">
        <v>1</v>
      </c>
      <c r="H18" s="24" t="s">
        <v>63</v>
      </c>
      <c r="I18" s="21" t="s">
        <v>48</v>
      </c>
      <c r="J18" s="21"/>
    </row>
    <row r="19" spans="1:10" ht="13.5" customHeight="1" x14ac:dyDescent="0.2">
      <c r="A19" s="21" t="s">
        <v>64</v>
      </c>
      <c r="B19" s="21"/>
      <c r="C19" s="21"/>
      <c r="D19" s="21"/>
      <c r="E19" s="22">
        <v>231573</v>
      </c>
      <c r="F19" s="23">
        <v>1</v>
      </c>
      <c r="G19" s="23">
        <v>1</v>
      </c>
      <c r="H19" s="24" t="s">
        <v>65</v>
      </c>
      <c r="I19" s="21" t="s">
        <v>66</v>
      </c>
      <c r="J19" s="21"/>
    </row>
    <row r="20" spans="1:10" ht="13.5" customHeight="1" x14ac:dyDescent="0.2">
      <c r="A20" s="21" t="s">
        <v>64</v>
      </c>
      <c r="B20" s="21"/>
      <c r="C20" s="21"/>
      <c r="D20" s="21"/>
      <c r="E20" s="22">
        <v>231573</v>
      </c>
      <c r="F20" s="23">
        <v>2</v>
      </c>
      <c r="G20" s="23">
        <v>1</v>
      </c>
      <c r="H20" s="24" t="s">
        <v>67</v>
      </c>
      <c r="I20" s="21" t="s">
        <v>66</v>
      </c>
      <c r="J20" s="21"/>
    </row>
    <row r="21" spans="1:10" ht="13.5" customHeight="1" x14ac:dyDescent="0.2">
      <c r="A21" s="21" t="s">
        <v>68</v>
      </c>
      <c r="B21" s="21"/>
      <c r="C21" s="21"/>
      <c r="D21" s="21"/>
      <c r="E21" s="22">
        <v>231574</v>
      </c>
      <c r="F21" s="23">
        <v>1</v>
      </c>
      <c r="G21" s="23">
        <v>1</v>
      </c>
      <c r="H21" s="24" t="s">
        <v>65</v>
      </c>
      <c r="I21" s="21" t="s">
        <v>66</v>
      </c>
      <c r="J21" s="21"/>
    </row>
    <row r="22" spans="1:10" ht="13.5" customHeight="1" x14ac:dyDescent="0.2">
      <c r="A22" s="21" t="s">
        <v>68</v>
      </c>
      <c r="B22" s="21"/>
      <c r="C22" s="21"/>
      <c r="D22" s="21"/>
      <c r="E22" s="22">
        <v>231574</v>
      </c>
      <c r="F22" s="23">
        <v>2</v>
      </c>
      <c r="G22" s="23">
        <v>1</v>
      </c>
      <c r="H22" s="24" t="s">
        <v>69</v>
      </c>
      <c r="I22" s="21" t="s">
        <v>66</v>
      </c>
      <c r="J22" s="21"/>
    </row>
    <row r="23" spans="1:10" ht="13.5" customHeight="1" x14ac:dyDescent="0.2">
      <c r="A23" s="21" t="s">
        <v>70</v>
      </c>
      <c r="B23" s="21"/>
      <c r="C23" s="21"/>
      <c r="D23" s="21"/>
      <c r="E23" s="22">
        <v>231575</v>
      </c>
      <c r="F23" s="23">
        <v>1</v>
      </c>
      <c r="G23" s="23">
        <v>1</v>
      </c>
      <c r="H23" s="24" t="s">
        <v>65</v>
      </c>
      <c r="I23" s="21" t="s">
        <v>66</v>
      </c>
      <c r="J23" s="21"/>
    </row>
    <row r="24" spans="1:10" ht="13.5" customHeight="1" x14ac:dyDescent="0.2">
      <c r="A24" s="21" t="s">
        <v>70</v>
      </c>
      <c r="B24" s="21"/>
      <c r="C24" s="21"/>
      <c r="D24" s="21"/>
      <c r="E24" s="22">
        <v>231575</v>
      </c>
      <c r="F24" s="23">
        <v>2</v>
      </c>
      <c r="G24" s="23">
        <v>1</v>
      </c>
      <c r="H24" s="24" t="s">
        <v>71</v>
      </c>
      <c r="I24" s="21" t="s">
        <v>66</v>
      </c>
      <c r="J24" s="21"/>
    </row>
    <row r="25" spans="1:10" ht="13.5" customHeight="1" x14ac:dyDescent="0.2">
      <c r="A25" s="21" t="s">
        <v>72</v>
      </c>
      <c r="B25" s="21"/>
      <c r="C25" s="21"/>
      <c r="D25" s="21"/>
      <c r="E25" s="22">
        <v>231576</v>
      </c>
      <c r="F25" s="23">
        <v>1</v>
      </c>
      <c r="G25" s="23">
        <v>1</v>
      </c>
      <c r="H25" s="24" t="s">
        <v>73</v>
      </c>
      <c r="I25" s="21" t="s">
        <v>66</v>
      </c>
      <c r="J25" s="21"/>
    </row>
    <row r="26" spans="1:10" ht="13.5" customHeight="1" x14ac:dyDescent="0.2">
      <c r="A26" s="21" t="s">
        <v>72</v>
      </c>
      <c r="B26" s="21"/>
      <c r="C26" s="21"/>
      <c r="D26" s="21"/>
      <c r="E26" s="22">
        <v>231576</v>
      </c>
      <c r="F26" s="23">
        <v>2</v>
      </c>
      <c r="G26" s="23">
        <v>1</v>
      </c>
      <c r="H26" s="24" t="s">
        <v>74</v>
      </c>
      <c r="I26" s="21" t="s">
        <v>66</v>
      </c>
      <c r="J26" s="21"/>
    </row>
    <row r="27" spans="1:10" ht="13.5" customHeight="1" x14ac:dyDescent="0.2">
      <c r="A27" s="21" t="s">
        <v>72</v>
      </c>
      <c r="B27" s="21"/>
      <c r="C27" s="21"/>
      <c r="D27" s="21"/>
      <c r="E27" s="22">
        <v>231576</v>
      </c>
      <c r="F27" s="23">
        <v>3</v>
      </c>
      <c r="G27" s="23">
        <v>1</v>
      </c>
      <c r="H27" s="24" t="s">
        <v>75</v>
      </c>
      <c r="I27" s="21" t="s">
        <v>66</v>
      </c>
      <c r="J27" s="21"/>
    </row>
    <row r="28" spans="1:10" ht="13.5" customHeight="1" x14ac:dyDescent="0.2">
      <c r="A28" s="21" t="s">
        <v>76</v>
      </c>
      <c r="B28" s="21"/>
      <c r="C28" s="21"/>
      <c r="D28" s="21"/>
      <c r="E28" s="22">
        <v>231577</v>
      </c>
      <c r="F28" s="23">
        <v>1</v>
      </c>
      <c r="G28" s="23">
        <v>1</v>
      </c>
      <c r="H28" s="24" t="s">
        <v>77</v>
      </c>
      <c r="I28" s="21" t="s">
        <v>66</v>
      </c>
      <c r="J28" s="21"/>
    </row>
    <row r="29" spans="1:10" ht="13.5" customHeight="1" x14ac:dyDescent="0.2">
      <c r="A29" s="21" t="s">
        <v>76</v>
      </c>
      <c r="B29" s="21"/>
      <c r="C29" s="21"/>
      <c r="D29" s="21"/>
      <c r="E29" s="22">
        <v>231577</v>
      </c>
      <c r="F29" s="23">
        <v>2</v>
      </c>
      <c r="G29" s="23">
        <v>1</v>
      </c>
      <c r="H29" s="24" t="s">
        <v>78</v>
      </c>
      <c r="I29" s="21" t="s">
        <v>66</v>
      </c>
      <c r="J29" s="21"/>
    </row>
    <row r="30" spans="1:10" ht="13.5" customHeight="1" x14ac:dyDescent="0.2">
      <c r="A30" s="21" t="s">
        <v>76</v>
      </c>
      <c r="B30" s="21"/>
      <c r="C30" s="21"/>
      <c r="D30" s="21"/>
      <c r="E30" s="22">
        <v>231577</v>
      </c>
      <c r="F30" s="23">
        <v>3</v>
      </c>
      <c r="G30" s="23">
        <v>1</v>
      </c>
      <c r="H30" s="24" t="s">
        <v>79</v>
      </c>
      <c r="I30" s="21" t="s">
        <v>66</v>
      </c>
      <c r="J30" s="21"/>
    </row>
    <row r="31" spans="1:10" ht="13.5" customHeight="1" x14ac:dyDescent="0.2">
      <c r="A31" s="21" t="s">
        <v>80</v>
      </c>
      <c r="B31" s="21"/>
      <c r="C31" s="21"/>
      <c r="D31" s="21"/>
      <c r="E31" s="22">
        <v>231578</v>
      </c>
      <c r="F31" s="23">
        <v>1</v>
      </c>
      <c r="G31" s="23">
        <v>1</v>
      </c>
      <c r="H31" s="24" t="s">
        <v>43</v>
      </c>
      <c r="I31" s="21" t="s">
        <v>60</v>
      </c>
      <c r="J31" s="21"/>
    </row>
    <row r="32" spans="1:10" ht="13.5" customHeight="1" x14ac:dyDescent="0.2">
      <c r="A32" s="21" t="s">
        <v>80</v>
      </c>
      <c r="B32" s="21"/>
      <c r="C32" s="21"/>
      <c r="D32" s="21"/>
      <c r="E32" s="22">
        <v>231578</v>
      </c>
      <c r="F32" s="23">
        <v>2</v>
      </c>
      <c r="G32" s="23">
        <v>1</v>
      </c>
      <c r="H32" s="24" t="s">
        <v>81</v>
      </c>
      <c r="I32" s="21" t="s">
        <v>60</v>
      </c>
      <c r="J32" s="21"/>
    </row>
    <row r="33" spans="1:14" ht="13.5" customHeight="1" x14ac:dyDescent="0.2">
      <c r="A33" s="21" t="s">
        <v>80</v>
      </c>
      <c r="B33" s="21"/>
      <c r="C33" s="21"/>
      <c r="D33" s="21"/>
      <c r="E33" s="22">
        <v>231578</v>
      </c>
      <c r="F33" s="23">
        <v>3</v>
      </c>
      <c r="G33" s="23">
        <v>1</v>
      </c>
      <c r="H33" s="24" t="s">
        <v>82</v>
      </c>
      <c r="I33" s="21" t="s">
        <v>60</v>
      </c>
      <c r="J33" s="21"/>
    </row>
    <row r="34" spans="1:14" ht="13.5" customHeight="1" x14ac:dyDescent="0.2">
      <c r="A34" s="21" t="s">
        <v>83</v>
      </c>
      <c r="B34" s="21"/>
      <c r="C34" s="21"/>
      <c r="D34" s="21"/>
      <c r="E34" s="22">
        <v>231579</v>
      </c>
      <c r="F34" s="23">
        <v>1</v>
      </c>
      <c r="G34" s="23">
        <v>1</v>
      </c>
      <c r="H34" s="24" t="s">
        <v>84</v>
      </c>
      <c r="I34" s="21" t="s">
        <v>60</v>
      </c>
      <c r="J34" s="21"/>
    </row>
    <row r="35" spans="1:14" ht="13.5" customHeight="1" x14ac:dyDescent="0.2">
      <c r="A35" s="21" t="s">
        <v>85</v>
      </c>
      <c r="B35" s="21"/>
      <c r="C35" s="21"/>
      <c r="D35" s="21"/>
      <c r="E35" s="22">
        <v>231580</v>
      </c>
      <c r="F35" s="23">
        <v>1</v>
      </c>
      <c r="G35" s="23">
        <v>1</v>
      </c>
      <c r="H35" s="24" t="s">
        <v>86</v>
      </c>
      <c r="I35" s="21" t="s">
        <v>60</v>
      </c>
      <c r="J35" s="21"/>
    </row>
    <row r="36" spans="1:14" ht="13.5" customHeight="1" x14ac:dyDescent="0.2">
      <c r="A36" s="21" t="s">
        <v>87</v>
      </c>
      <c r="B36" s="21"/>
      <c r="C36" s="21"/>
      <c r="D36" s="21"/>
      <c r="E36" s="22">
        <v>231581</v>
      </c>
      <c r="F36" s="23">
        <v>1</v>
      </c>
      <c r="G36" s="23">
        <v>1</v>
      </c>
      <c r="H36" s="24" t="s">
        <v>88</v>
      </c>
      <c r="I36" s="21" t="s">
        <v>42</v>
      </c>
      <c r="J36" s="21"/>
    </row>
    <row r="37" spans="1:14" ht="13.5" customHeight="1" x14ac:dyDescent="0.2">
      <c r="A37" s="21" t="s">
        <v>89</v>
      </c>
      <c r="B37" s="21"/>
      <c r="C37" s="21"/>
      <c r="D37" s="21"/>
      <c r="E37" s="22">
        <v>231582</v>
      </c>
      <c r="F37" s="23">
        <v>1</v>
      </c>
      <c r="G37" s="23">
        <v>1</v>
      </c>
      <c r="H37" s="24" t="s">
        <v>90</v>
      </c>
      <c r="I37" s="21" t="s">
        <v>42</v>
      </c>
      <c r="J37" s="21"/>
    </row>
    <row r="38" spans="1:14" ht="12" customHeight="1" x14ac:dyDescent="0.2"/>
    <row r="39" spans="1:14" ht="12.95" customHeight="1" x14ac:dyDescent="0.2"/>
    <row r="40" spans="1:14" ht="15" customHeight="1" x14ac:dyDescent="0.2">
      <c r="J40" s="25"/>
      <c r="K40" s="26"/>
      <c r="L40" s="26"/>
      <c r="M40" s="26"/>
      <c r="N40" s="26"/>
    </row>
  </sheetData>
  <sheetProtection sheet="1" objects="1" scenarios="1" selectLockedCells="1" selectUnlockedCells="1"/>
  <mergeCells count="67">
    <mergeCell ref="O3:W3"/>
    <mergeCell ref="X3:AG3"/>
    <mergeCell ref="AO3:AV3"/>
    <mergeCell ref="O2:W2"/>
    <mergeCell ref="X2:AG2"/>
    <mergeCell ref="AO2:AV2"/>
    <mergeCell ref="A35:D35"/>
    <mergeCell ref="I35:J35"/>
    <mergeCell ref="A36:D36"/>
    <mergeCell ref="I36:J36"/>
    <mergeCell ref="A37:D37"/>
    <mergeCell ref="I37:J37"/>
    <mergeCell ref="A32:D32"/>
    <mergeCell ref="I32:J32"/>
    <mergeCell ref="A33:D33"/>
    <mergeCell ref="I33:J33"/>
    <mergeCell ref="A34:D34"/>
    <mergeCell ref="I34:J34"/>
    <mergeCell ref="A29:D29"/>
    <mergeCell ref="I29:J29"/>
    <mergeCell ref="A30:D30"/>
    <mergeCell ref="I30:J30"/>
    <mergeCell ref="A31:D31"/>
    <mergeCell ref="I31:J31"/>
    <mergeCell ref="A26:D26"/>
    <mergeCell ref="I26:J26"/>
    <mergeCell ref="A27:D27"/>
    <mergeCell ref="I27:J27"/>
    <mergeCell ref="A28:D28"/>
    <mergeCell ref="I28:J28"/>
    <mergeCell ref="A23:D23"/>
    <mergeCell ref="I23:J23"/>
    <mergeCell ref="A24:D24"/>
    <mergeCell ref="I24:J24"/>
    <mergeCell ref="A25:D25"/>
    <mergeCell ref="I25:J25"/>
    <mergeCell ref="A20:D20"/>
    <mergeCell ref="I20:J20"/>
    <mergeCell ref="A21:D21"/>
    <mergeCell ref="I21:J21"/>
    <mergeCell ref="A22:D22"/>
    <mergeCell ref="I22:J22"/>
    <mergeCell ref="A17:D17"/>
    <mergeCell ref="I17:J17"/>
    <mergeCell ref="A18:D18"/>
    <mergeCell ref="I18:J18"/>
    <mergeCell ref="A19:D19"/>
    <mergeCell ref="I19:J19"/>
    <mergeCell ref="A13:D13"/>
    <mergeCell ref="I13:J13"/>
    <mergeCell ref="A14:D14"/>
    <mergeCell ref="I14:J14"/>
    <mergeCell ref="A16:D16"/>
    <mergeCell ref="I16:J16"/>
    <mergeCell ref="A9:D9"/>
    <mergeCell ref="I9:J9"/>
    <mergeCell ref="A10:D10"/>
    <mergeCell ref="I10:J10"/>
    <mergeCell ref="A12:D12"/>
    <mergeCell ref="I12:J12"/>
    <mergeCell ref="D2:H2"/>
    <mergeCell ref="I2:L2"/>
    <mergeCell ref="A5:D5"/>
    <mergeCell ref="I5:J5"/>
    <mergeCell ref="L5:M5"/>
    <mergeCell ref="A8:D8"/>
    <mergeCell ref="I8:J8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67856-BC1D-4B04-BFC7-95AFFCCEB504}">
  <sheetPr codeName="Sheet3">
    <outlinePr summaryBelow="0" summaryRight="0"/>
    <pageSetUpPr autoPageBreaks="0"/>
  </sheetPr>
  <dimension ref="A1:AV40"/>
  <sheetViews>
    <sheetView workbookViewId="0">
      <pane ySplit="2" topLeftCell="A3" activePane="bottomLeft" state="frozenSplit"/>
      <selection pane="bottomLeft" activeCell="AO3" sqref="AO3:AV3"/>
    </sheetView>
  </sheetViews>
  <sheetFormatPr defaultColWidth="6.85546875" defaultRowHeight="12.75" customHeight="1" x14ac:dyDescent="0.2"/>
  <cols>
    <col min="1" max="1" width="19" style="3" customWidth="1"/>
    <col min="2" max="2" width="1.5703125" style="3" customWidth="1"/>
    <col min="3" max="3" width="4.5703125" style="3" customWidth="1"/>
    <col min="4" max="4" width="3.42578125" style="3" customWidth="1"/>
    <col min="5" max="5" width="10.7109375" style="3" customWidth="1"/>
    <col min="6" max="6" width="8.140625" style="3" bestFit="1" customWidth="1"/>
    <col min="7" max="7" width="6.7109375" style="3" customWidth="1"/>
    <col min="8" max="8" width="15.140625" style="3" bestFit="1" customWidth="1"/>
    <col min="9" max="9" width="16.7109375" style="3" customWidth="1"/>
    <col min="10" max="10" width="18.28515625" style="3" customWidth="1"/>
    <col min="11" max="12" width="3.7109375" style="3" customWidth="1"/>
    <col min="13" max="13" width="8.7109375" style="3" customWidth="1"/>
    <col min="14" max="14" width="2.7109375" style="3" customWidth="1"/>
    <col min="15" max="15" width="18.7109375" style="7" hidden="1" customWidth="1"/>
    <col min="16" max="16" width="20.7109375" style="8" hidden="1" customWidth="1"/>
    <col min="17" max="17" width="12.7109375" style="8" hidden="1" customWidth="1"/>
    <col min="18" max="18" width="10.7109375" style="8" hidden="1" customWidth="1"/>
    <col min="19" max="19" width="16.7109375" style="8" hidden="1" customWidth="1"/>
    <col min="20" max="20" width="25.7109375" style="9" hidden="1" customWidth="1"/>
    <col min="21" max="22" width="15.7109375" style="8" hidden="1" customWidth="1"/>
    <col min="23" max="23" width="20.7109375" style="8" hidden="1" customWidth="1"/>
    <col min="24" max="24" width="18.7109375" style="7" hidden="1" customWidth="1"/>
    <col min="25" max="27" width="20.7109375" style="8" hidden="1" customWidth="1"/>
    <col min="28" max="28" width="16.7109375" style="8" hidden="1" customWidth="1"/>
    <col min="29" max="29" width="25.7109375" style="9" hidden="1" customWidth="1"/>
    <col min="30" max="30" width="20.7109375" style="8" hidden="1" customWidth="1"/>
    <col min="31" max="31" width="2.7109375" style="8" hidden="1" customWidth="1"/>
    <col min="32" max="32" width="20.7109375" style="8" hidden="1" customWidth="1"/>
    <col min="33" max="33" width="15.7109375" style="8" hidden="1" customWidth="1"/>
    <col min="34" max="40" width="6.85546875" style="2" hidden="1" customWidth="1"/>
    <col min="41" max="41" width="18.7109375" style="7" customWidth="1"/>
    <col min="42" max="42" width="20.7109375" style="8" customWidth="1"/>
    <col min="43" max="43" width="12.7109375" style="8" customWidth="1"/>
    <col min="44" max="44" width="10.7109375" style="8" customWidth="1"/>
    <col min="45" max="45" width="16.7109375" style="8" customWidth="1"/>
    <col min="46" max="46" width="25.7109375" style="8" customWidth="1"/>
    <col min="47" max="47" width="15.7109375" style="8" customWidth="1"/>
    <col min="48" max="48" width="20.7109375" style="8" customWidth="1"/>
    <col min="49" max="16384" width="6.85546875" style="2" customWidth="1"/>
  </cols>
  <sheetData>
    <row r="1" spans="1:48" s="3" customFormat="1" ht="6.75" customHeight="1" x14ac:dyDescent="0.2">
      <c r="O1" s="27"/>
      <c r="P1" s="28"/>
      <c r="Q1" s="28"/>
      <c r="R1" s="28"/>
      <c r="S1" s="28"/>
      <c r="T1" s="29"/>
      <c r="U1" s="28"/>
      <c r="V1" s="28"/>
      <c r="W1" s="28"/>
      <c r="X1" s="27"/>
      <c r="Y1" s="28"/>
      <c r="Z1" s="28"/>
      <c r="AA1" s="28"/>
      <c r="AB1" s="28"/>
      <c r="AC1" s="29"/>
      <c r="AD1" s="28"/>
      <c r="AE1" s="28"/>
      <c r="AF1" s="28"/>
      <c r="AG1" s="28"/>
      <c r="AO1" s="27"/>
      <c r="AP1" s="28"/>
      <c r="AQ1" s="28"/>
      <c r="AR1" s="28"/>
      <c r="AS1" s="28"/>
      <c r="AT1" s="28"/>
      <c r="AU1" s="28"/>
      <c r="AV1" s="28"/>
    </row>
    <row r="2" spans="1:48" s="3" customFormat="1" ht="24" customHeight="1" x14ac:dyDescent="0.2">
      <c r="D2" s="14" t="s">
        <v>0</v>
      </c>
      <c r="E2" s="14"/>
      <c r="F2" s="14"/>
      <c r="G2" s="14"/>
      <c r="H2" s="14"/>
      <c r="I2" s="15" t="s">
        <v>49</v>
      </c>
      <c r="J2" s="15"/>
      <c r="K2" s="15"/>
      <c r="L2" s="15"/>
      <c r="O2" s="38" t="str">
        <f ca="1">"Outbound: "&amp;SUMPRODUCT(SUBTOTAL(103,OFFSET($E$6,ROW($E$6:$E$37)-ROW($E$6),0,1)),--($U$6:$U$37="OK"),--($E$6:$E$37&lt;&gt;""))&amp;"/"&amp;SUMPRODUCT(SUBTOTAL(103,OFFSET($E$6,ROW($E$6:$E$37)-ROW($E$6),0,1)),--($E$6:$E$37&lt;&gt;""))&amp;" • "&amp;TEXT(IFERROR(SUMPRODUCT(SUBTOTAL(103,OFFSET($E$6,ROW($E$6:$E$37)-ROW($E$6),0,1)),--((($V$6:$V$37="On-Time")+($V$6:$V$37="Early"))&gt;0),--($E$6:$E$37&lt;&gt;""))/SUMPRODUCT(SUBTOTAL(103,OFFSET($E$6,ROW($E$6:$E$37)-ROW($E$6),0,1)),--($E$6:$E$37&lt;&gt;"")),0),"0.0%")&amp;" On Time"</f>
        <v>Outbound: 0/28 • 0.0% On Time</v>
      </c>
      <c r="P2" s="38"/>
      <c r="Q2" s="38"/>
      <c r="R2" s="38"/>
      <c r="S2" s="38"/>
      <c r="T2" s="38"/>
      <c r="U2" s="38"/>
      <c r="V2" s="38"/>
      <c r="W2" s="38"/>
      <c r="X2" s="39" t="str">
        <f ca="1">"Inbound: "&amp;SUMPRODUCT(SUBTOTAL(103,OFFSET($E$6,ROW($E$6:$E$37)-ROW($E$6),0,1)),--($AD$6:$AD$37="Received"),--($E$6:$E$37&lt;&gt;""))&amp;"/"&amp;SUMPRODUCT(SUBTOTAL(103,OFFSET($E$6,ROW($E$6:$E$37)-ROW($E$6),0,1)),--($E$6:$E$37&lt;&gt;""))&amp;" • "&amp;TEXT(IFERROR(SUMPRODUCT(SUBTOTAL(103,OFFSET($E$6,ROW($E$6:$E$37)-ROW($E$6),0,1)),--($AD$6:$AD$37="Received"),--($E$6:$E$37&lt;&gt;""))/SUMPRODUCT(SUBTOTAL(103,OFFSET($E$6,ROW($E$6:$E$37)-ROW($E$6),0,1)),--($E$6:$E$37&lt;&gt;"")),0),"0.0%")&amp;" Complete"</f>
        <v>Inbound: 0/28 • 0.0% Complete</v>
      </c>
      <c r="Y2" s="39"/>
      <c r="Z2" s="39"/>
      <c r="AA2" s="39"/>
      <c r="AB2" s="39"/>
      <c r="AC2" s="39"/>
      <c r="AD2" s="39"/>
      <c r="AE2" s="39"/>
      <c r="AF2" s="39"/>
      <c r="AG2" s="39"/>
      <c r="AO2" s="40" t="str">
        <f ca="1">"Staged: "&amp;SUMPRODUCT(SUBTOTAL(103,OFFSET($E$6,ROW($E$6:$E$37)-ROW($E$6),0,1)),--($AU$6:$AU$37="OK"),--($E$6:$E$37&lt;&gt;""))&amp;"/"&amp;SUMPRODUCT(SUBTOTAL(103,OFFSET($E$6,ROW($E$6:$E$37)-ROW($E$6),0,1)),--($E$6:$E$37&lt;&gt;""))&amp;" • "&amp;TEXT(IFERROR(SUMPRODUCT(SUBTOTAL(103,OFFSET($E$6,ROW($E$6:$E$37)-ROW($E$6),0,1)),--($AU$6:$AU$37="OK"),--($E$6:$E$37&lt;&gt;""))/SUMPRODUCT(SUBTOTAL(103,OFFSET($E$6,ROW($E$6:$E$37)-ROW($E$6),0,1)),--($E$6:$E$37&lt;&gt;"")),0),"0.0%")&amp;" Complete"</f>
        <v>Staged: 0/28 • 0.0% Complete</v>
      </c>
      <c r="AP2" s="40"/>
      <c r="AQ2" s="40"/>
      <c r="AR2" s="40"/>
      <c r="AS2" s="40"/>
      <c r="AT2" s="40"/>
      <c r="AU2" s="40"/>
      <c r="AV2" s="40"/>
    </row>
    <row r="3" spans="1:48" ht="85.5" customHeight="1" x14ac:dyDescent="0.2">
      <c r="O3" s="36" t="s">
        <v>33</v>
      </c>
      <c r="P3" s="37"/>
      <c r="Q3" s="37"/>
      <c r="R3" s="37"/>
      <c r="S3" s="37"/>
      <c r="T3" s="37"/>
      <c r="U3" s="37"/>
      <c r="V3" s="37"/>
      <c r="W3" s="37"/>
      <c r="X3" s="36" t="s">
        <v>35</v>
      </c>
      <c r="Y3" s="37"/>
      <c r="Z3" s="37"/>
      <c r="AA3" s="37"/>
      <c r="AB3" s="37"/>
      <c r="AC3" s="37"/>
      <c r="AD3" s="37"/>
      <c r="AE3" s="37"/>
      <c r="AF3" s="37"/>
      <c r="AG3" s="37"/>
      <c r="AO3" s="36" t="s">
        <v>34</v>
      </c>
      <c r="AP3" s="37"/>
      <c r="AQ3" s="37"/>
      <c r="AR3" s="37"/>
      <c r="AS3" s="37"/>
      <c r="AT3" s="37"/>
      <c r="AU3" s="37"/>
      <c r="AV3" s="37"/>
    </row>
    <row r="4" spans="1:48" ht="20.100000000000001" customHeight="1" x14ac:dyDescent="0.2">
      <c r="O4" s="10" t="s">
        <v>9</v>
      </c>
      <c r="P4" s="11"/>
      <c r="X4" s="10" t="s">
        <v>9</v>
      </c>
      <c r="Y4" s="11"/>
      <c r="AO4" s="10" t="s">
        <v>9</v>
      </c>
      <c r="AP4" s="11"/>
      <c r="AT4" s="9"/>
    </row>
    <row r="5" spans="1:48" ht="15" customHeight="1" x14ac:dyDescent="0.2">
      <c r="A5" s="16" t="s">
        <v>1</v>
      </c>
      <c r="B5" s="16"/>
      <c r="C5" s="16"/>
      <c r="D5" s="16"/>
      <c r="E5" s="17" t="s">
        <v>2</v>
      </c>
      <c r="F5" s="18" t="s">
        <v>3</v>
      </c>
      <c r="G5" s="18" t="s">
        <v>4</v>
      </c>
      <c r="H5" s="17" t="s">
        <v>5</v>
      </c>
      <c r="I5" s="16" t="s">
        <v>6</v>
      </c>
      <c r="J5" s="16"/>
      <c r="L5" s="19" t="s">
        <v>44</v>
      </c>
      <c r="M5" s="19"/>
      <c r="P5" s="12" t="s">
        <v>10</v>
      </c>
      <c r="Q5" s="12" t="s">
        <v>2</v>
      </c>
      <c r="R5" s="12" t="s">
        <v>3</v>
      </c>
      <c r="S5" s="12" t="s">
        <v>11</v>
      </c>
      <c r="T5" s="13" t="s">
        <v>12</v>
      </c>
      <c r="U5" s="12" t="s">
        <v>13</v>
      </c>
      <c r="V5" s="12" t="s">
        <v>14</v>
      </c>
      <c r="W5" s="12" t="s">
        <v>15</v>
      </c>
      <c r="Y5" s="12" t="s">
        <v>16</v>
      </c>
      <c r="Z5" s="12" t="s">
        <v>17</v>
      </c>
      <c r="AA5" s="12" t="s">
        <v>18</v>
      </c>
      <c r="AB5" s="12" t="s">
        <v>19</v>
      </c>
      <c r="AC5" s="13" t="s">
        <v>20</v>
      </c>
      <c r="AD5" s="12" t="s">
        <v>21</v>
      </c>
      <c r="AE5" s="12"/>
      <c r="AF5" s="12" t="s">
        <v>15</v>
      </c>
      <c r="AG5" s="12" t="s">
        <v>22</v>
      </c>
      <c r="AP5" s="12" t="s">
        <v>10</v>
      </c>
      <c r="AQ5" s="12" t="s">
        <v>2</v>
      </c>
      <c r="AR5" s="12" t="s">
        <v>3</v>
      </c>
      <c r="AS5" s="12" t="s">
        <v>11</v>
      </c>
      <c r="AT5" s="12" t="s">
        <v>12</v>
      </c>
      <c r="AU5" s="12" t="s">
        <v>13</v>
      </c>
      <c r="AV5" s="12" t="s">
        <v>15</v>
      </c>
    </row>
    <row r="6" spans="1:48" ht="8.25" customHeight="1" x14ac:dyDescent="0.2"/>
    <row r="7" spans="1:48" ht="13.5" customHeight="1" x14ac:dyDescent="0.2">
      <c r="A7" s="20" t="s">
        <v>50</v>
      </c>
    </row>
    <row r="8" spans="1:48" ht="13.5" customHeight="1" x14ac:dyDescent="0.2">
      <c r="A8" s="21" t="s">
        <v>51</v>
      </c>
      <c r="B8" s="21"/>
      <c r="C8" s="21"/>
      <c r="D8" s="21"/>
      <c r="E8" s="22">
        <v>231588</v>
      </c>
      <c r="F8" s="23">
        <v>1</v>
      </c>
      <c r="G8" s="23">
        <v>1</v>
      </c>
      <c r="H8" s="24" t="s">
        <v>52</v>
      </c>
      <c r="I8" s="21" t="s">
        <v>23</v>
      </c>
      <c r="J8" s="21"/>
    </row>
    <row r="9" spans="1:48" ht="13.5" customHeight="1" x14ac:dyDescent="0.2">
      <c r="A9" s="21" t="s">
        <v>51</v>
      </c>
      <c r="B9" s="21"/>
      <c r="C9" s="21"/>
      <c r="D9" s="21"/>
      <c r="E9" s="22">
        <v>231588</v>
      </c>
      <c r="F9" s="23">
        <v>2</v>
      </c>
      <c r="G9" s="23">
        <v>1</v>
      </c>
      <c r="H9" s="24" t="s">
        <v>53</v>
      </c>
      <c r="I9" s="21" t="s">
        <v>23</v>
      </c>
      <c r="J9" s="21"/>
    </row>
    <row r="10" spans="1:48" ht="13.5" customHeight="1" x14ac:dyDescent="0.2">
      <c r="A10" s="21" t="s">
        <v>51</v>
      </c>
      <c r="B10" s="21"/>
      <c r="C10" s="21"/>
      <c r="D10" s="21"/>
      <c r="E10" s="22">
        <v>231588</v>
      </c>
      <c r="F10" s="23">
        <v>3</v>
      </c>
      <c r="G10" s="23">
        <v>1</v>
      </c>
      <c r="H10" s="24" t="s">
        <v>54</v>
      </c>
      <c r="I10" s="21" t="s">
        <v>23</v>
      </c>
      <c r="J10" s="21"/>
    </row>
    <row r="11" spans="1:48" ht="13.5" customHeight="1" x14ac:dyDescent="0.2">
      <c r="A11" s="20" t="s">
        <v>7</v>
      </c>
    </row>
    <row r="12" spans="1:48" ht="13.5" customHeight="1" x14ac:dyDescent="0.2">
      <c r="A12" s="21" t="s">
        <v>55</v>
      </c>
      <c r="B12" s="21"/>
      <c r="C12" s="21"/>
      <c r="D12" s="21"/>
      <c r="E12" s="22">
        <v>231555</v>
      </c>
      <c r="F12" s="23">
        <v>1</v>
      </c>
      <c r="G12" s="23">
        <v>1</v>
      </c>
      <c r="H12" s="24" t="s">
        <v>56</v>
      </c>
      <c r="I12" s="21" t="s">
        <v>48</v>
      </c>
      <c r="J12" s="21"/>
    </row>
    <row r="13" spans="1:48" ht="13.5" customHeight="1" x14ac:dyDescent="0.2">
      <c r="A13" s="21" t="s">
        <v>57</v>
      </c>
      <c r="B13" s="21"/>
      <c r="C13" s="21"/>
      <c r="D13" s="21"/>
      <c r="E13" s="22">
        <v>231563</v>
      </c>
      <c r="F13" s="23">
        <v>1</v>
      </c>
      <c r="G13" s="23">
        <v>1</v>
      </c>
      <c r="H13" s="24" t="s">
        <v>45</v>
      </c>
      <c r="I13" s="21" t="s">
        <v>42</v>
      </c>
      <c r="J13" s="21"/>
    </row>
    <row r="14" spans="1:48" ht="13.5" customHeight="1" x14ac:dyDescent="0.2">
      <c r="A14" s="21" t="s">
        <v>57</v>
      </c>
      <c r="B14" s="21"/>
      <c r="C14" s="21"/>
      <c r="D14" s="21"/>
      <c r="E14" s="22">
        <v>231563</v>
      </c>
      <c r="F14" s="23">
        <v>2</v>
      </c>
      <c r="G14" s="23">
        <v>1</v>
      </c>
      <c r="H14" s="24" t="s">
        <v>46</v>
      </c>
      <c r="I14" s="21" t="s">
        <v>42</v>
      </c>
      <c r="J14" s="21"/>
    </row>
    <row r="15" spans="1:48" ht="13.5" customHeight="1" x14ac:dyDescent="0.2">
      <c r="A15" s="20" t="s">
        <v>8</v>
      </c>
    </row>
    <row r="16" spans="1:48" ht="13.5" customHeight="1" x14ac:dyDescent="0.2">
      <c r="A16" s="21" t="s">
        <v>58</v>
      </c>
      <c r="B16" s="21"/>
      <c r="C16" s="21"/>
      <c r="D16" s="21"/>
      <c r="E16" s="22">
        <v>231538</v>
      </c>
      <c r="F16" s="23">
        <v>1</v>
      </c>
      <c r="G16" s="23">
        <v>1</v>
      </c>
      <c r="H16" s="24" t="s">
        <v>59</v>
      </c>
      <c r="I16" s="21" t="s">
        <v>60</v>
      </c>
      <c r="J16" s="21"/>
    </row>
    <row r="17" spans="1:10" ht="13.5" customHeight="1" x14ac:dyDescent="0.2">
      <c r="A17" s="21" t="s">
        <v>61</v>
      </c>
      <c r="B17" s="21"/>
      <c r="C17" s="21"/>
      <c r="D17" s="21"/>
      <c r="E17" s="22">
        <v>231572</v>
      </c>
      <c r="F17" s="23">
        <v>1</v>
      </c>
      <c r="G17" s="23">
        <v>1</v>
      </c>
      <c r="H17" s="24" t="s">
        <v>62</v>
      </c>
      <c r="I17" s="21" t="s">
        <v>48</v>
      </c>
      <c r="J17" s="21"/>
    </row>
    <row r="18" spans="1:10" ht="13.5" customHeight="1" x14ac:dyDescent="0.2">
      <c r="A18" s="21" t="s">
        <v>61</v>
      </c>
      <c r="B18" s="21"/>
      <c r="C18" s="21"/>
      <c r="D18" s="21"/>
      <c r="E18" s="22">
        <v>231572</v>
      </c>
      <c r="F18" s="23">
        <v>2</v>
      </c>
      <c r="G18" s="23">
        <v>1</v>
      </c>
      <c r="H18" s="24" t="s">
        <v>63</v>
      </c>
      <c r="I18" s="21" t="s">
        <v>48</v>
      </c>
      <c r="J18" s="21"/>
    </row>
    <row r="19" spans="1:10" ht="13.5" customHeight="1" x14ac:dyDescent="0.2">
      <c r="A19" s="21" t="s">
        <v>64</v>
      </c>
      <c r="B19" s="21"/>
      <c r="C19" s="21"/>
      <c r="D19" s="21"/>
      <c r="E19" s="22">
        <v>231573</v>
      </c>
      <c r="F19" s="23">
        <v>1</v>
      </c>
      <c r="G19" s="23">
        <v>1</v>
      </c>
      <c r="H19" s="24" t="s">
        <v>65</v>
      </c>
      <c r="I19" s="21" t="s">
        <v>66</v>
      </c>
      <c r="J19" s="21"/>
    </row>
    <row r="20" spans="1:10" ht="13.5" customHeight="1" x14ac:dyDescent="0.2">
      <c r="A20" s="21" t="s">
        <v>64</v>
      </c>
      <c r="B20" s="21"/>
      <c r="C20" s="21"/>
      <c r="D20" s="21"/>
      <c r="E20" s="22">
        <v>231573</v>
      </c>
      <c r="F20" s="23">
        <v>2</v>
      </c>
      <c r="G20" s="23">
        <v>1</v>
      </c>
      <c r="H20" s="24" t="s">
        <v>67</v>
      </c>
      <c r="I20" s="21" t="s">
        <v>66</v>
      </c>
      <c r="J20" s="21"/>
    </row>
    <row r="21" spans="1:10" ht="13.5" customHeight="1" x14ac:dyDescent="0.2">
      <c r="A21" s="21" t="s">
        <v>68</v>
      </c>
      <c r="B21" s="21"/>
      <c r="C21" s="21"/>
      <c r="D21" s="21"/>
      <c r="E21" s="22">
        <v>231574</v>
      </c>
      <c r="F21" s="23">
        <v>1</v>
      </c>
      <c r="G21" s="23">
        <v>1</v>
      </c>
      <c r="H21" s="24" t="s">
        <v>65</v>
      </c>
      <c r="I21" s="21" t="s">
        <v>66</v>
      </c>
      <c r="J21" s="21"/>
    </row>
    <row r="22" spans="1:10" ht="13.5" customHeight="1" x14ac:dyDescent="0.2">
      <c r="A22" s="21" t="s">
        <v>68</v>
      </c>
      <c r="B22" s="21"/>
      <c r="C22" s="21"/>
      <c r="D22" s="21"/>
      <c r="E22" s="22">
        <v>231574</v>
      </c>
      <c r="F22" s="23">
        <v>2</v>
      </c>
      <c r="G22" s="23">
        <v>1</v>
      </c>
      <c r="H22" s="24" t="s">
        <v>69</v>
      </c>
      <c r="I22" s="21" t="s">
        <v>66</v>
      </c>
      <c r="J22" s="21"/>
    </row>
    <row r="23" spans="1:10" ht="13.5" customHeight="1" x14ac:dyDescent="0.2">
      <c r="A23" s="21" t="s">
        <v>70</v>
      </c>
      <c r="B23" s="21"/>
      <c r="C23" s="21"/>
      <c r="D23" s="21"/>
      <c r="E23" s="22">
        <v>231575</v>
      </c>
      <c r="F23" s="23">
        <v>1</v>
      </c>
      <c r="G23" s="23">
        <v>1</v>
      </c>
      <c r="H23" s="24" t="s">
        <v>65</v>
      </c>
      <c r="I23" s="21" t="s">
        <v>66</v>
      </c>
      <c r="J23" s="21"/>
    </row>
    <row r="24" spans="1:10" ht="13.5" customHeight="1" x14ac:dyDescent="0.2">
      <c r="A24" s="21" t="s">
        <v>70</v>
      </c>
      <c r="B24" s="21"/>
      <c r="C24" s="21"/>
      <c r="D24" s="21"/>
      <c r="E24" s="22">
        <v>231575</v>
      </c>
      <c r="F24" s="23">
        <v>2</v>
      </c>
      <c r="G24" s="23">
        <v>1</v>
      </c>
      <c r="H24" s="24" t="s">
        <v>71</v>
      </c>
      <c r="I24" s="21" t="s">
        <v>66</v>
      </c>
      <c r="J24" s="21"/>
    </row>
    <row r="25" spans="1:10" ht="13.5" customHeight="1" x14ac:dyDescent="0.2">
      <c r="A25" s="21" t="s">
        <v>72</v>
      </c>
      <c r="B25" s="21"/>
      <c r="C25" s="21"/>
      <c r="D25" s="21"/>
      <c r="E25" s="22">
        <v>231576</v>
      </c>
      <c r="F25" s="23">
        <v>1</v>
      </c>
      <c r="G25" s="23">
        <v>1</v>
      </c>
      <c r="H25" s="24" t="s">
        <v>73</v>
      </c>
      <c r="I25" s="21" t="s">
        <v>66</v>
      </c>
      <c r="J25" s="21"/>
    </row>
    <row r="26" spans="1:10" ht="13.5" customHeight="1" x14ac:dyDescent="0.2">
      <c r="A26" s="21" t="s">
        <v>72</v>
      </c>
      <c r="B26" s="21"/>
      <c r="C26" s="21"/>
      <c r="D26" s="21"/>
      <c r="E26" s="22">
        <v>231576</v>
      </c>
      <c r="F26" s="23">
        <v>2</v>
      </c>
      <c r="G26" s="23">
        <v>1</v>
      </c>
      <c r="H26" s="24" t="s">
        <v>74</v>
      </c>
      <c r="I26" s="21" t="s">
        <v>66</v>
      </c>
      <c r="J26" s="21"/>
    </row>
    <row r="27" spans="1:10" ht="13.5" customHeight="1" x14ac:dyDescent="0.2">
      <c r="A27" s="21" t="s">
        <v>72</v>
      </c>
      <c r="B27" s="21"/>
      <c r="C27" s="21"/>
      <c r="D27" s="21"/>
      <c r="E27" s="22">
        <v>231576</v>
      </c>
      <c r="F27" s="23">
        <v>3</v>
      </c>
      <c r="G27" s="23">
        <v>1</v>
      </c>
      <c r="H27" s="24" t="s">
        <v>75</v>
      </c>
      <c r="I27" s="21" t="s">
        <v>66</v>
      </c>
      <c r="J27" s="21"/>
    </row>
    <row r="28" spans="1:10" ht="13.5" customHeight="1" x14ac:dyDescent="0.2">
      <c r="A28" s="21" t="s">
        <v>76</v>
      </c>
      <c r="B28" s="21"/>
      <c r="C28" s="21"/>
      <c r="D28" s="21"/>
      <c r="E28" s="22">
        <v>231577</v>
      </c>
      <c r="F28" s="23">
        <v>1</v>
      </c>
      <c r="G28" s="23">
        <v>1</v>
      </c>
      <c r="H28" s="24" t="s">
        <v>77</v>
      </c>
      <c r="I28" s="21" t="s">
        <v>66</v>
      </c>
      <c r="J28" s="21"/>
    </row>
    <row r="29" spans="1:10" ht="13.5" customHeight="1" x14ac:dyDescent="0.2">
      <c r="A29" s="21" t="s">
        <v>76</v>
      </c>
      <c r="B29" s="21"/>
      <c r="C29" s="21"/>
      <c r="D29" s="21"/>
      <c r="E29" s="22">
        <v>231577</v>
      </c>
      <c r="F29" s="23">
        <v>2</v>
      </c>
      <c r="G29" s="23">
        <v>1</v>
      </c>
      <c r="H29" s="24" t="s">
        <v>78</v>
      </c>
      <c r="I29" s="21" t="s">
        <v>66</v>
      </c>
      <c r="J29" s="21"/>
    </row>
    <row r="30" spans="1:10" ht="13.5" customHeight="1" x14ac:dyDescent="0.2">
      <c r="A30" s="21" t="s">
        <v>76</v>
      </c>
      <c r="B30" s="21"/>
      <c r="C30" s="21"/>
      <c r="D30" s="21"/>
      <c r="E30" s="22">
        <v>231577</v>
      </c>
      <c r="F30" s="23">
        <v>3</v>
      </c>
      <c r="G30" s="23">
        <v>1</v>
      </c>
      <c r="H30" s="24" t="s">
        <v>79</v>
      </c>
      <c r="I30" s="21" t="s">
        <v>66</v>
      </c>
      <c r="J30" s="21"/>
    </row>
    <row r="31" spans="1:10" ht="13.5" customHeight="1" x14ac:dyDescent="0.2">
      <c r="A31" s="21" t="s">
        <v>80</v>
      </c>
      <c r="B31" s="21"/>
      <c r="C31" s="21"/>
      <c r="D31" s="21"/>
      <c r="E31" s="22">
        <v>231578</v>
      </c>
      <c r="F31" s="23">
        <v>1</v>
      </c>
      <c r="G31" s="23">
        <v>1</v>
      </c>
      <c r="H31" s="24" t="s">
        <v>43</v>
      </c>
      <c r="I31" s="21" t="s">
        <v>60</v>
      </c>
      <c r="J31" s="21"/>
    </row>
    <row r="32" spans="1:10" ht="13.5" customHeight="1" x14ac:dyDescent="0.2">
      <c r="A32" s="21" t="s">
        <v>80</v>
      </c>
      <c r="B32" s="21"/>
      <c r="C32" s="21"/>
      <c r="D32" s="21"/>
      <c r="E32" s="22">
        <v>231578</v>
      </c>
      <c r="F32" s="23">
        <v>2</v>
      </c>
      <c r="G32" s="23">
        <v>1</v>
      </c>
      <c r="H32" s="24" t="s">
        <v>81</v>
      </c>
      <c r="I32" s="21" t="s">
        <v>60</v>
      </c>
      <c r="J32" s="21"/>
    </row>
    <row r="33" spans="1:14" ht="13.5" customHeight="1" x14ac:dyDescent="0.2">
      <c r="A33" s="21" t="s">
        <v>80</v>
      </c>
      <c r="B33" s="21"/>
      <c r="C33" s="21"/>
      <c r="D33" s="21"/>
      <c r="E33" s="22">
        <v>231578</v>
      </c>
      <c r="F33" s="23">
        <v>3</v>
      </c>
      <c r="G33" s="23">
        <v>1</v>
      </c>
      <c r="H33" s="24" t="s">
        <v>82</v>
      </c>
      <c r="I33" s="21" t="s">
        <v>60</v>
      </c>
      <c r="J33" s="21"/>
    </row>
    <row r="34" spans="1:14" ht="13.5" customHeight="1" x14ac:dyDescent="0.2">
      <c r="A34" s="21" t="s">
        <v>83</v>
      </c>
      <c r="B34" s="21"/>
      <c r="C34" s="21"/>
      <c r="D34" s="21"/>
      <c r="E34" s="22">
        <v>231579</v>
      </c>
      <c r="F34" s="23">
        <v>1</v>
      </c>
      <c r="G34" s="23">
        <v>1</v>
      </c>
      <c r="H34" s="24" t="s">
        <v>84</v>
      </c>
      <c r="I34" s="21" t="s">
        <v>60</v>
      </c>
      <c r="J34" s="21"/>
    </row>
    <row r="35" spans="1:14" ht="13.5" customHeight="1" x14ac:dyDescent="0.2">
      <c r="A35" s="21" t="s">
        <v>85</v>
      </c>
      <c r="B35" s="21"/>
      <c r="C35" s="21"/>
      <c r="D35" s="21"/>
      <c r="E35" s="22">
        <v>231580</v>
      </c>
      <c r="F35" s="23">
        <v>1</v>
      </c>
      <c r="G35" s="23">
        <v>1</v>
      </c>
      <c r="H35" s="24" t="s">
        <v>86</v>
      </c>
      <c r="I35" s="21" t="s">
        <v>60</v>
      </c>
      <c r="J35" s="21"/>
    </row>
    <row r="36" spans="1:14" ht="13.5" customHeight="1" x14ac:dyDescent="0.2">
      <c r="A36" s="21" t="s">
        <v>87</v>
      </c>
      <c r="B36" s="21"/>
      <c r="C36" s="21"/>
      <c r="D36" s="21"/>
      <c r="E36" s="22">
        <v>231581</v>
      </c>
      <c r="F36" s="23">
        <v>1</v>
      </c>
      <c r="G36" s="23">
        <v>1</v>
      </c>
      <c r="H36" s="24" t="s">
        <v>88</v>
      </c>
      <c r="I36" s="21" t="s">
        <v>42</v>
      </c>
      <c r="J36" s="21"/>
    </row>
    <row r="37" spans="1:14" ht="13.5" customHeight="1" x14ac:dyDescent="0.2">
      <c r="A37" s="21" t="s">
        <v>89</v>
      </c>
      <c r="B37" s="21"/>
      <c r="C37" s="21"/>
      <c r="D37" s="21"/>
      <c r="E37" s="22">
        <v>231582</v>
      </c>
      <c r="F37" s="23">
        <v>1</v>
      </c>
      <c r="G37" s="23">
        <v>1</v>
      </c>
      <c r="H37" s="24" t="s">
        <v>90</v>
      </c>
      <c r="I37" s="21" t="s">
        <v>42</v>
      </c>
      <c r="J37" s="21"/>
    </row>
    <row r="38" spans="1:14" ht="12" customHeight="1" x14ac:dyDescent="0.2"/>
    <row r="39" spans="1:14" ht="12.95" customHeight="1" x14ac:dyDescent="0.2"/>
    <row r="40" spans="1:14" ht="15" customHeight="1" x14ac:dyDescent="0.2">
      <c r="J40" s="25"/>
      <c r="K40" s="26"/>
      <c r="L40" s="26"/>
      <c r="M40" s="26"/>
      <c r="N40" s="26"/>
    </row>
  </sheetData>
  <sheetProtection sheet="1" objects="1" scenarios="1" selectLockedCells="1"/>
  <mergeCells count="67">
    <mergeCell ref="A36:D36"/>
    <mergeCell ref="I36:J36"/>
    <mergeCell ref="A37:D37"/>
    <mergeCell ref="I37:J37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4:D14"/>
    <mergeCell ref="I14:J14"/>
    <mergeCell ref="A16:D16"/>
    <mergeCell ref="I16:J16"/>
    <mergeCell ref="A17:D17"/>
    <mergeCell ref="I17:J17"/>
    <mergeCell ref="A10:D10"/>
    <mergeCell ref="I10:J10"/>
    <mergeCell ref="A12:D12"/>
    <mergeCell ref="I12:J12"/>
    <mergeCell ref="A13:D13"/>
    <mergeCell ref="I13:J13"/>
    <mergeCell ref="A5:D5"/>
    <mergeCell ref="I5:J5"/>
    <mergeCell ref="L5:M5"/>
    <mergeCell ref="A8:D8"/>
    <mergeCell ref="I8:J8"/>
    <mergeCell ref="A9:D9"/>
    <mergeCell ref="I9:J9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9FA57-DA03-4214-8AF4-5ED997D2A7A1}">
  <sheetPr codeName="Sheet4">
    <outlinePr summaryBelow="0" summaryRight="0"/>
    <pageSetUpPr autoPageBreaks="0"/>
  </sheetPr>
  <dimension ref="A1:AV40"/>
  <sheetViews>
    <sheetView topLeftCell="B1" workbookViewId="0">
      <pane ySplit="2" topLeftCell="A3" activePane="bottomLeft" state="frozenSplit"/>
      <selection pane="bottomLeft" activeCell="O3" sqref="O3:W3"/>
    </sheetView>
  </sheetViews>
  <sheetFormatPr defaultColWidth="6.85546875" defaultRowHeight="12.75" customHeight="1" x14ac:dyDescent="0.2"/>
  <cols>
    <col min="1" max="1" width="19" style="3" customWidth="1"/>
    <col min="2" max="2" width="1.5703125" style="3" customWidth="1"/>
    <col min="3" max="3" width="4.5703125" style="3" customWidth="1"/>
    <col min="4" max="4" width="3.42578125" style="3" customWidth="1"/>
    <col min="5" max="5" width="10.7109375" style="3" customWidth="1"/>
    <col min="6" max="6" width="8.140625" style="3" bestFit="1" customWidth="1"/>
    <col min="7" max="7" width="6.7109375" style="3" customWidth="1"/>
    <col min="8" max="8" width="15.140625" style="3" bestFit="1" customWidth="1"/>
    <col min="9" max="9" width="16.7109375" style="3" customWidth="1"/>
    <col min="10" max="10" width="18.28515625" style="3" customWidth="1"/>
    <col min="11" max="12" width="3.7109375" style="3" customWidth="1"/>
    <col min="13" max="13" width="8.7109375" style="3" customWidth="1"/>
    <col min="14" max="14" width="2.7109375" style="3" customWidth="1"/>
    <col min="15" max="15" width="18.7109375" style="7" customWidth="1"/>
    <col min="16" max="16" width="20.7109375" style="8" customWidth="1"/>
    <col min="17" max="17" width="12.7109375" style="8" customWidth="1"/>
    <col min="18" max="18" width="10.7109375" style="8" customWidth="1"/>
    <col min="19" max="19" width="16.7109375" style="8" customWidth="1"/>
    <col min="20" max="20" width="25.7109375" style="9" customWidth="1"/>
    <col min="21" max="22" width="15.7109375" style="8" customWidth="1"/>
    <col min="23" max="23" width="20.7109375" style="8" customWidth="1"/>
    <col min="24" max="24" width="18.7109375" style="7" hidden="1" customWidth="1"/>
    <col min="25" max="27" width="20.7109375" style="8" hidden="1" customWidth="1"/>
    <col min="28" max="28" width="16.7109375" style="8" hidden="1" customWidth="1"/>
    <col min="29" max="29" width="25.7109375" style="9" hidden="1" customWidth="1"/>
    <col min="30" max="30" width="20.7109375" style="8" hidden="1" customWidth="1"/>
    <col min="31" max="31" width="2.7109375" style="8" hidden="1" customWidth="1"/>
    <col min="32" max="32" width="20.7109375" style="8" hidden="1" customWidth="1"/>
    <col min="33" max="33" width="15.7109375" style="8" hidden="1" customWidth="1"/>
    <col min="34" max="40" width="6.85546875" style="2" hidden="1" customWidth="1"/>
    <col min="41" max="41" width="18.7109375" style="7" hidden="1" customWidth="1"/>
    <col min="42" max="42" width="20.7109375" style="8" hidden="1" customWidth="1"/>
    <col min="43" max="43" width="12.7109375" style="8" hidden="1" customWidth="1"/>
    <col min="44" max="44" width="10.7109375" style="8" hidden="1" customWidth="1"/>
    <col min="45" max="45" width="16.7109375" style="8" hidden="1" customWidth="1"/>
    <col min="46" max="46" width="25.7109375" style="8" hidden="1" customWidth="1"/>
    <col min="47" max="47" width="15.7109375" style="8" hidden="1" customWidth="1"/>
    <col min="48" max="48" width="20.7109375" style="8" hidden="1" customWidth="1"/>
    <col min="49" max="16384" width="6.85546875" style="2" customWidth="1"/>
  </cols>
  <sheetData>
    <row r="1" spans="1:48" s="3" customFormat="1" ht="6.75" customHeight="1" x14ac:dyDescent="0.2">
      <c r="O1" s="27"/>
      <c r="P1" s="28"/>
      <c r="Q1" s="28"/>
      <c r="R1" s="28"/>
      <c r="S1" s="28"/>
      <c r="T1" s="29"/>
      <c r="U1" s="28"/>
      <c r="V1" s="28"/>
      <c r="W1" s="28"/>
      <c r="X1" s="27"/>
      <c r="Y1" s="28"/>
      <c r="Z1" s="28"/>
      <c r="AA1" s="28"/>
      <c r="AB1" s="28"/>
      <c r="AC1" s="29"/>
      <c r="AD1" s="28"/>
      <c r="AE1" s="28"/>
      <c r="AF1" s="28"/>
      <c r="AG1" s="28"/>
      <c r="AO1" s="27"/>
      <c r="AP1" s="28"/>
      <c r="AQ1" s="28"/>
      <c r="AR1" s="28"/>
      <c r="AS1" s="28"/>
      <c r="AT1" s="28"/>
      <c r="AU1" s="28"/>
      <c r="AV1" s="28"/>
    </row>
    <row r="2" spans="1:48" s="3" customFormat="1" ht="24" customHeight="1" x14ac:dyDescent="0.2">
      <c r="D2" s="14" t="s">
        <v>0</v>
      </c>
      <c r="E2" s="14"/>
      <c r="F2" s="14"/>
      <c r="G2" s="14"/>
      <c r="H2" s="14"/>
      <c r="I2" s="15" t="s">
        <v>49</v>
      </c>
      <c r="J2" s="15"/>
      <c r="K2" s="15"/>
      <c r="L2" s="15"/>
      <c r="O2" s="38" t="str">
        <f ca="1">"Outbound: "&amp;SUMPRODUCT(SUBTOTAL(103,OFFSET($E$6,ROW($E$6:$E$37)-ROW($E$6),0,1)),--($U$6:$U$37="OK"),--($E$6:$E$37&lt;&gt;""))&amp;"/"&amp;SUMPRODUCT(SUBTOTAL(103,OFFSET($E$6,ROW($E$6:$E$37)-ROW($E$6),0,1)),--($E$6:$E$37&lt;&gt;""))&amp;" • "&amp;TEXT(IFERROR(SUMPRODUCT(SUBTOTAL(103,OFFSET($E$6,ROW($E$6:$E$37)-ROW($E$6),0,1)),--((($V$6:$V$37="On-Time")+($V$6:$V$37="Early"))&gt;0),--($E$6:$E$37&lt;&gt;""))/SUMPRODUCT(SUBTOTAL(103,OFFSET($E$6,ROW($E$6:$E$37)-ROW($E$6),0,1)),--($E$6:$E$37&lt;&gt;"")),0),"0.0%")&amp;" On Time"</f>
        <v>Outbound: 0/28 • 0.0% On Time</v>
      </c>
      <c r="P2" s="38"/>
      <c r="Q2" s="38"/>
      <c r="R2" s="38"/>
      <c r="S2" s="38"/>
      <c r="T2" s="38"/>
      <c r="U2" s="38"/>
      <c r="V2" s="38"/>
      <c r="W2" s="38"/>
      <c r="X2" s="39" t="str">
        <f ca="1">"Inbound: "&amp;SUMPRODUCT(SUBTOTAL(103,OFFSET($E$6,ROW($E$6:$E$37)-ROW($E$6),0,1)),--($AD$6:$AD$37="Received"),--($E$6:$E$37&lt;&gt;""))&amp;"/"&amp;SUMPRODUCT(SUBTOTAL(103,OFFSET($E$6,ROW($E$6:$E$37)-ROW($E$6),0,1)),--($E$6:$E$37&lt;&gt;""))&amp;" • "&amp;TEXT(IFERROR(SUMPRODUCT(SUBTOTAL(103,OFFSET($E$6,ROW($E$6:$E$37)-ROW($E$6),0,1)),--($AD$6:$AD$37="Received"),--($E$6:$E$37&lt;&gt;""))/SUMPRODUCT(SUBTOTAL(103,OFFSET($E$6,ROW($E$6:$E$37)-ROW($E$6),0,1)),--($E$6:$E$37&lt;&gt;"")),0),"0.0%")&amp;" Complete"</f>
        <v>Inbound: 0/28 • 0.0% Complete</v>
      </c>
      <c r="Y2" s="39"/>
      <c r="Z2" s="39"/>
      <c r="AA2" s="39"/>
      <c r="AB2" s="39"/>
      <c r="AC2" s="39"/>
      <c r="AD2" s="39"/>
      <c r="AE2" s="39"/>
      <c r="AF2" s="39"/>
      <c r="AG2" s="39"/>
      <c r="AO2" s="40" t="str">
        <f ca="1">"Staged: "&amp;SUMPRODUCT(SUBTOTAL(103,OFFSET($E$6,ROW($E$6:$E$37)-ROW($E$6),0,1)),--($AU$6:$AU$37="OK"),--($E$6:$E$37&lt;&gt;""))&amp;"/"&amp;SUMPRODUCT(SUBTOTAL(103,OFFSET($E$6,ROW($E$6:$E$37)-ROW($E$6),0,1)),--($E$6:$E$37&lt;&gt;""))&amp;" • "&amp;TEXT(IFERROR(SUMPRODUCT(SUBTOTAL(103,OFFSET($E$6,ROW($E$6:$E$37)-ROW($E$6),0,1)),--($AU$6:$AU$37="OK"),--($E$6:$E$37&lt;&gt;""))/SUMPRODUCT(SUBTOTAL(103,OFFSET($E$6,ROW($E$6:$E$37)-ROW($E$6),0,1)),--($E$6:$E$37&lt;&gt;"")),0),"0.0%")&amp;" Complete"</f>
        <v>Staged: 0/28 • 0.0% Complete</v>
      </c>
      <c r="AP2" s="40"/>
      <c r="AQ2" s="40"/>
      <c r="AR2" s="40"/>
      <c r="AS2" s="40"/>
      <c r="AT2" s="40"/>
      <c r="AU2" s="40"/>
      <c r="AV2" s="40"/>
    </row>
    <row r="3" spans="1:48" ht="85.5" customHeight="1" x14ac:dyDescent="0.2">
      <c r="O3" s="36" t="s">
        <v>33</v>
      </c>
      <c r="P3" s="37"/>
      <c r="Q3" s="37"/>
      <c r="R3" s="37"/>
      <c r="S3" s="37"/>
      <c r="T3" s="37"/>
      <c r="U3" s="37"/>
      <c r="V3" s="37"/>
      <c r="W3" s="37"/>
      <c r="X3" s="36" t="s">
        <v>35</v>
      </c>
      <c r="Y3" s="37"/>
      <c r="Z3" s="37"/>
      <c r="AA3" s="37"/>
      <c r="AB3" s="37"/>
      <c r="AC3" s="37"/>
      <c r="AD3" s="37"/>
      <c r="AE3" s="37"/>
      <c r="AF3" s="37"/>
      <c r="AG3" s="37"/>
      <c r="AO3" s="36" t="s">
        <v>34</v>
      </c>
      <c r="AP3" s="37"/>
      <c r="AQ3" s="37"/>
      <c r="AR3" s="37"/>
      <c r="AS3" s="37"/>
      <c r="AT3" s="37"/>
      <c r="AU3" s="37"/>
      <c r="AV3" s="37"/>
    </row>
    <row r="4" spans="1:48" ht="20.100000000000001" customHeight="1" x14ac:dyDescent="0.2">
      <c r="O4" s="10" t="s">
        <v>9</v>
      </c>
      <c r="P4" s="11"/>
      <c r="X4" s="10" t="s">
        <v>9</v>
      </c>
      <c r="Y4" s="11"/>
      <c r="AO4" s="10" t="s">
        <v>9</v>
      </c>
      <c r="AP4" s="11"/>
      <c r="AT4" s="9"/>
    </row>
    <row r="5" spans="1:48" ht="15" customHeight="1" x14ac:dyDescent="0.2">
      <c r="A5" s="16" t="s">
        <v>1</v>
      </c>
      <c r="B5" s="16"/>
      <c r="C5" s="16"/>
      <c r="D5" s="16"/>
      <c r="E5" s="17" t="s">
        <v>2</v>
      </c>
      <c r="F5" s="18" t="s">
        <v>3</v>
      </c>
      <c r="G5" s="18" t="s">
        <v>4</v>
      </c>
      <c r="H5" s="17" t="s">
        <v>5</v>
      </c>
      <c r="I5" s="16" t="s">
        <v>6</v>
      </c>
      <c r="J5" s="16"/>
      <c r="L5" s="19" t="s">
        <v>44</v>
      </c>
      <c r="M5" s="19"/>
      <c r="P5" s="12" t="s">
        <v>10</v>
      </c>
      <c r="Q5" s="12" t="s">
        <v>2</v>
      </c>
      <c r="R5" s="12" t="s">
        <v>3</v>
      </c>
      <c r="S5" s="12" t="s">
        <v>11</v>
      </c>
      <c r="T5" s="13" t="s">
        <v>12</v>
      </c>
      <c r="U5" s="12" t="s">
        <v>13</v>
      </c>
      <c r="V5" s="12" t="s">
        <v>14</v>
      </c>
      <c r="W5" s="12" t="s">
        <v>15</v>
      </c>
      <c r="Y5" s="12" t="s">
        <v>16</v>
      </c>
      <c r="Z5" s="12" t="s">
        <v>17</v>
      </c>
      <c r="AA5" s="12" t="s">
        <v>18</v>
      </c>
      <c r="AB5" s="12" t="s">
        <v>19</v>
      </c>
      <c r="AC5" s="13" t="s">
        <v>20</v>
      </c>
      <c r="AD5" s="12" t="s">
        <v>21</v>
      </c>
      <c r="AE5" s="12"/>
      <c r="AF5" s="12" t="s">
        <v>15</v>
      </c>
      <c r="AG5" s="12" t="s">
        <v>22</v>
      </c>
      <c r="AP5" s="12" t="s">
        <v>10</v>
      </c>
      <c r="AQ5" s="12" t="s">
        <v>2</v>
      </c>
      <c r="AR5" s="12" t="s">
        <v>3</v>
      </c>
      <c r="AS5" s="12" t="s">
        <v>11</v>
      </c>
      <c r="AT5" s="12" t="s">
        <v>12</v>
      </c>
      <c r="AU5" s="12" t="s">
        <v>13</v>
      </c>
      <c r="AV5" s="12" t="s">
        <v>15</v>
      </c>
    </row>
    <row r="6" spans="1:48" ht="8.25" customHeight="1" x14ac:dyDescent="0.2"/>
    <row r="7" spans="1:48" ht="13.5" customHeight="1" x14ac:dyDescent="0.2">
      <c r="A7" s="20" t="s">
        <v>50</v>
      </c>
    </row>
    <row r="8" spans="1:48" ht="13.5" customHeight="1" x14ac:dyDescent="0.2">
      <c r="A8" s="21" t="s">
        <v>51</v>
      </c>
      <c r="B8" s="21"/>
      <c r="C8" s="21"/>
      <c r="D8" s="21"/>
      <c r="E8" s="22">
        <v>231588</v>
      </c>
      <c r="F8" s="23">
        <v>1</v>
      </c>
      <c r="G8" s="23">
        <v>1</v>
      </c>
      <c r="H8" s="24" t="s">
        <v>52</v>
      </c>
      <c r="I8" s="21" t="s">
        <v>23</v>
      </c>
      <c r="J8" s="21"/>
    </row>
    <row r="9" spans="1:48" ht="13.5" customHeight="1" x14ac:dyDescent="0.2">
      <c r="A9" s="21" t="s">
        <v>51</v>
      </c>
      <c r="B9" s="21"/>
      <c r="C9" s="21"/>
      <c r="D9" s="21"/>
      <c r="E9" s="22">
        <v>231588</v>
      </c>
      <c r="F9" s="23">
        <v>2</v>
      </c>
      <c r="G9" s="23">
        <v>1</v>
      </c>
      <c r="H9" s="24" t="s">
        <v>53</v>
      </c>
      <c r="I9" s="21" t="s">
        <v>23</v>
      </c>
      <c r="J9" s="21"/>
    </row>
    <row r="10" spans="1:48" ht="13.5" customHeight="1" x14ac:dyDescent="0.2">
      <c r="A10" s="21" t="s">
        <v>51</v>
      </c>
      <c r="B10" s="21"/>
      <c r="C10" s="21"/>
      <c r="D10" s="21"/>
      <c r="E10" s="22">
        <v>231588</v>
      </c>
      <c r="F10" s="23">
        <v>3</v>
      </c>
      <c r="G10" s="23">
        <v>1</v>
      </c>
      <c r="H10" s="24" t="s">
        <v>54</v>
      </c>
      <c r="I10" s="21" t="s">
        <v>23</v>
      </c>
      <c r="J10" s="21"/>
    </row>
    <row r="11" spans="1:48" ht="13.5" customHeight="1" x14ac:dyDescent="0.2">
      <c r="A11" s="20" t="s">
        <v>7</v>
      </c>
    </row>
    <row r="12" spans="1:48" ht="13.5" customHeight="1" x14ac:dyDescent="0.2">
      <c r="A12" s="21" t="s">
        <v>55</v>
      </c>
      <c r="B12" s="21"/>
      <c r="C12" s="21"/>
      <c r="D12" s="21"/>
      <c r="E12" s="22">
        <v>231555</v>
      </c>
      <c r="F12" s="23">
        <v>1</v>
      </c>
      <c r="G12" s="23">
        <v>1</v>
      </c>
      <c r="H12" s="24" t="s">
        <v>56</v>
      </c>
      <c r="I12" s="21" t="s">
        <v>48</v>
      </c>
      <c r="J12" s="21"/>
    </row>
    <row r="13" spans="1:48" ht="13.5" customHeight="1" x14ac:dyDescent="0.2">
      <c r="A13" s="21" t="s">
        <v>57</v>
      </c>
      <c r="B13" s="21"/>
      <c r="C13" s="21"/>
      <c r="D13" s="21"/>
      <c r="E13" s="22">
        <v>231563</v>
      </c>
      <c r="F13" s="23">
        <v>1</v>
      </c>
      <c r="G13" s="23">
        <v>1</v>
      </c>
      <c r="H13" s="24" t="s">
        <v>45</v>
      </c>
      <c r="I13" s="21" t="s">
        <v>42</v>
      </c>
      <c r="J13" s="21"/>
    </row>
    <row r="14" spans="1:48" ht="13.5" customHeight="1" x14ac:dyDescent="0.2">
      <c r="A14" s="21" t="s">
        <v>57</v>
      </c>
      <c r="B14" s="21"/>
      <c r="C14" s="21"/>
      <c r="D14" s="21"/>
      <c r="E14" s="22">
        <v>231563</v>
      </c>
      <c r="F14" s="23">
        <v>2</v>
      </c>
      <c r="G14" s="23">
        <v>1</v>
      </c>
      <c r="H14" s="24" t="s">
        <v>46</v>
      </c>
      <c r="I14" s="21" t="s">
        <v>42</v>
      </c>
      <c r="J14" s="21"/>
    </row>
    <row r="15" spans="1:48" ht="13.5" customHeight="1" x14ac:dyDescent="0.2">
      <c r="A15" s="20" t="s">
        <v>8</v>
      </c>
    </row>
    <row r="16" spans="1:48" ht="13.5" customHeight="1" x14ac:dyDescent="0.2">
      <c r="A16" s="21" t="s">
        <v>58</v>
      </c>
      <c r="B16" s="21"/>
      <c r="C16" s="21"/>
      <c r="D16" s="21"/>
      <c r="E16" s="22">
        <v>231538</v>
      </c>
      <c r="F16" s="23">
        <v>1</v>
      </c>
      <c r="G16" s="23">
        <v>1</v>
      </c>
      <c r="H16" s="24" t="s">
        <v>59</v>
      </c>
      <c r="I16" s="21" t="s">
        <v>60</v>
      </c>
      <c r="J16" s="21"/>
    </row>
    <row r="17" spans="1:10" ht="13.5" customHeight="1" x14ac:dyDescent="0.2">
      <c r="A17" s="21" t="s">
        <v>61</v>
      </c>
      <c r="B17" s="21"/>
      <c r="C17" s="21"/>
      <c r="D17" s="21"/>
      <c r="E17" s="22">
        <v>231572</v>
      </c>
      <c r="F17" s="23">
        <v>1</v>
      </c>
      <c r="G17" s="23">
        <v>1</v>
      </c>
      <c r="H17" s="24" t="s">
        <v>62</v>
      </c>
      <c r="I17" s="21" t="s">
        <v>48</v>
      </c>
      <c r="J17" s="21"/>
    </row>
    <row r="18" spans="1:10" ht="13.5" customHeight="1" x14ac:dyDescent="0.2">
      <c r="A18" s="21" t="s">
        <v>61</v>
      </c>
      <c r="B18" s="21"/>
      <c r="C18" s="21"/>
      <c r="D18" s="21"/>
      <c r="E18" s="22">
        <v>231572</v>
      </c>
      <c r="F18" s="23">
        <v>2</v>
      </c>
      <c r="G18" s="23">
        <v>1</v>
      </c>
      <c r="H18" s="24" t="s">
        <v>63</v>
      </c>
      <c r="I18" s="21" t="s">
        <v>48</v>
      </c>
      <c r="J18" s="21"/>
    </row>
    <row r="19" spans="1:10" ht="13.5" customHeight="1" x14ac:dyDescent="0.2">
      <c r="A19" s="21" t="s">
        <v>64</v>
      </c>
      <c r="B19" s="21"/>
      <c r="C19" s="21"/>
      <c r="D19" s="21"/>
      <c r="E19" s="22">
        <v>231573</v>
      </c>
      <c r="F19" s="23">
        <v>1</v>
      </c>
      <c r="G19" s="23">
        <v>1</v>
      </c>
      <c r="H19" s="24" t="s">
        <v>65</v>
      </c>
      <c r="I19" s="21" t="s">
        <v>66</v>
      </c>
      <c r="J19" s="21"/>
    </row>
    <row r="20" spans="1:10" ht="13.5" customHeight="1" x14ac:dyDescent="0.2">
      <c r="A20" s="21" t="s">
        <v>64</v>
      </c>
      <c r="B20" s="21"/>
      <c r="C20" s="21"/>
      <c r="D20" s="21"/>
      <c r="E20" s="22">
        <v>231573</v>
      </c>
      <c r="F20" s="23">
        <v>2</v>
      </c>
      <c r="G20" s="23">
        <v>1</v>
      </c>
      <c r="H20" s="24" t="s">
        <v>67</v>
      </c>
      <c r="I20" s="21" t="s">
        <v>66</v>
      </c>
      <c r="J20" s="21"/>
    </row>
    <row r="21" spans="1:10" ht="13.5" customHeight="1" x14ac:dyDescent="0.2">
      <c r="A21" s="21" t="s">
        <v>68</v>
      </c>
      <c r="B21" s="21"/>
      <c r="C21" s="21"/>
      <c r="D21" s="21"/>
      <c r="E21" s="22">
        <v>231574</v>
      </c>
      <c r="F21" s="23">
        <v>1</v>
      </c>
      <c r="G21" s="23">
        <v>1</v>
      </c>
      <c r="H21" s="24" t="s">
        <v>65</v>
      </c>
      <c r="I21" s="21" t="s">
        <v>66</v>
      </c>
      <c r="J21" s="21"/>
    </row>
    <row r="22" spans="1:10" ht="13.5" customHeight="1" x14ac:dyDescent="0.2">
      <c r="A22" s="21" t="s">
        <v>68</v>
      </c>
      <c r="B22" s="21"/>
      <c r="C22" s="21"/>
      <c r="D22" s="21"/>
      <c r="E22" s="22">
        <v>231574</v>
      </c>
      <c r="F22" s="23">
        <v>2</v>
      </c>
      <c r="G22" s="23">
        <v>1</v>
      </c>
      <c r="H22" s="24" t="s">
        <v>69</v>
      </c>
      <c r="I22" s="21" t="s">
        <v>66</v>
      </c>
      <c r="J22" s="21"/>
    </row>
    <row r="23" spans="1:10" ht="13.5" customHeight="1" x14ac:dyDescent="0.2">
      <c r="A23" s="21" t="s">
        <v>70</v>
      </c>
      <c r="B23" s="21"/>
      <c r="C23" s="21"/>
      <c r="D23" s="21"/>
      <c r="E23" s="22">
        <v>231575</v>
      </c>
      <c r="F23" s="23">
        <v>1</v>
      </c>
      <c r="G23" s="23">
        <v>1</v>
      </c>
      <c r="H23" s="24" t="s">
        <v>65</v>
      </c>
      <c r="I23" s="21" t="s">
        <v>66</v>
      </c>
      <c r="J23" s="21"/>
    </row>
    <row r="24" spans="1:10" ht="13.5" customHeight="1" x14ac:dyDescent="0.2">
      <c r="A24" s="21" t="s">
        <v>70</v>
      </c>
      <c r="B24" s="21"/>
      <c r="C24" s="21"/>
      <c r="D24" s="21"/>
      <c r="E24" s="22">
        <v>231575</v>
      </c>
      <c r="F24" s="23">
        <v>2</v>
      </c>
      <c r="G24" s="23">
        <v>1</v>
      </c>
      <c r="H24" s="24" t="s">
        <v>71</v>
      </c>
      <c r="I24" s="21" t="s">
        <v>66</v>
      </c>
      <c r="J24" s="21"/>
    </row>
    <row r="25" spans="1:10" ht="13.5" customHeight="1" x14ac:dyDescent="0.2">
      <c r="A25" s="21" t="s">
        <v>72</v>
      </c>
      <c r="B25" s="21"/>
      <c r="C25" s="21"/>
      <c r="D25" s="21"/>
      <c r="E25" s="22">
        <v>231576</v>
      </c>
      <c r="F25" s="23">
        <v>1</v>
      </c>
      <c r="G25" s="23">
        <v>1</v>
      </c>
      <c r="H25" s="24" t="s">
        <v>73</v>
      </c>
      <c r="I25" s="21" t="s">
        <v>66</v>
      </c>
      <c r="J25" s="21"/>
    </row>
    <row r="26" spans="1:10" ht="13.5" customHeight="1" x14ac:dyDescent="0.2">
      <c r="A26" s="21" t="s">
        <v>72</v>
      </c>
      <c r="B26" s="21"/>
      <c r="C26" s="21"/>
      <c r="D26" s="21"/>
      <c r="E26" s="22">
        <v>231576</v>
      </c>
      <c r="F26" s="23">
        <v>2</v>
      </c>
      <c r="G26" s="23">
        <v>1</v>
      </c>
      <c r="H26" s="24" t="s">
        <v>74</v>
      </c>
      <c r="I26" s="21" t="s">
        <v>66</v>
      </c>
      <c r="J26" s="21"/>
    </row>
    <row r="27" spans="1:10" ht="13.5" customHeight="1" x14ac:dyDescent="0.2">
      <c r="A27" s="21" t="s">
        <v>72</v>
      </c>
      <c r="B27" s="21"/>
      <c r="C27" s="21"/>
      <c r="D27" s="21"/>
      <c r="E27" s="22">
        <v>231576</v>
      </c>
      <c r="F27" s="23">
        <v>3</v>
      </c>
      <c r="G27" s="23">
        <v>1</v>
      </c>
      <c r="H27" s="24" t="s">
        <v>75</v>
      </c>
      <c r="I27" s="21" t="s">
        <v>66</v>
      </c>
      <c r="J27" s="21"/>
    </row>
    <row r="28" spans="1:10" ht="13.5" customHeight="1" x14ac:dyDescent="0.2">
      <c r="A28" s="21" t="s">
        <v>76</v>
      </c>
      <c r="B28" s="21"/>
      <c r="C28" s="21"/>
      <c r="D28" s="21"/>
      <c r="E28" s="22">
        <v>231577</v>
      </c>
      <c r="F28" s="23">
        <v>1</v>
      </c>
      <c r="G28" s="23">
        <v>1</v>
      </c>
      <c r="H28" s="24" t="s">
        <v>77</v>
      </c>
      <c r="I28" s="21" t="s">
        <v>66</v>
      </c>
      <c r="J28" s="21"/>
    </row>
    <row r="29" spans="1:10" ht="13.5" customHeight="1" x14ac:dyDescent="0.2">
      <c r="A29" s="21" t="s">
        <v>76</v>
      </c>
      <c r="B29" s="21"/>
      <c r="C29" s="21"/>
      <c r="D29" s="21"/>
      <c r="E29" s="22">
        <v>231577</v>
      </c>
      <c r="F29" s="23">
        <v>2</v>
      </c>
      <c r="G29" s="23">
        <v>1</v>
      </c>
      <c r="H29" s="24" t="s">
        <v>78</v>
      </c>
      <c r="I29" s="21" t="s">
        <v>66</v>
      </c>
      <c r="J29" s="21"/>
    </row>
    <row r="30" spans="1:10" ht="13.5" customHeight="1" x14ac:dyDescent="0.2">
      <c r="A30" s="21" t="s">
        <v>76</v>
      </c>
      <c r="B30" s="21"/>
      <c r="C30" s="21"/>
      <c r="D30" s="21"/>
      <c r="E30" s="22">
        <v>231577</v>
      </c>
      <c r="F30" s="23">
        <v>3</v>
      </c>
      <c r="G30" s="23">
        <v>1</v>
      </c>
      <c r="H30" s="24" t="s">
        <v>79</v>
      </c>
      <c r="I30" s="21" t="s">
        <v>66</v>
      </c>
      <c r="J30" s="21"/>
    </row>
    <row r="31" spans="1:10" ht="13.5" customHeight="1" x14ac:dyDescent="0.2">
      <c r="A31" s="21" t="s">
        <v>80</v>
      </c>
      <c r="B31" s="21"/>
      <c r="C31" s="21"/>
      <c r="D31" s="21"/>
      <c r="E31" s="22">
        <v>231578</v>
      </c>
      <c r="F31" s="23">
        <v>1</v>
      </c>
      <c r="G31" s="23">
        <v>1</v>
      </c>
      <c r="H31" s="24" t="s">
        <v>43</v>
      </c>
      <c r="I31" s="21" t="s">
        <v>60</v>
      </c>
      <c r="J31" s="21"/>
    </row>
    <row r="32" spans="1:10" ht="13.5" customHeight="1" x14ac:dyDescent="0.2">
      <c r="A32" s="21" t="s">
        <v>80</v>
      </c>
      <c r="B32" s="21"/>
      <c r="C32" s="21"/>
      <c r="D32" s="21"/>
      <c r="E32" s="22">
        <v>231578</v>
      </c>
      <c r="F32" s="23">
        <v>2</v>
      </c>
      <c r="G32" s="23">
        <v>1</v>
      </c>
      <c r="H32" s="24" t="s">
        <v>81</v>
      </c>
      <c r="I32" s="21" t="s">
        <v>60</v>
      </c>
      <c r="J32" s="21"/>
    </row>
    <row r="33" spans="1:14" ht="13.5" customHeight="1" x14ac:dyDescent="0.2">
      <c r="A33" s="21" t="s">
        <v>80</v>
      </c>
      <c r="B33" s="21"/>
      <c r="C33" s="21"/>
      <c r="D33" s="21"/>
      <c r="E33" s="22">
        <v>231578</v>
      </c>
      <c r="F33" s="23">
        <v>3</v>
      </c>
      <c r="G33" s="23">
        <v>1</v>
      </c>
      <c r="H33" s="24" t="s">
        <v>82</v>
      </c>
      <c r="I33" s="21" t="s">
        <v>60</v>
      </c>
      <c r="J33" s="21"/>
    </row>
    <row r="34" spans="1:14" ht="13.5" customHeight="1" x14ac:dyDescent="0.2">
      <c r="A34" s="21" t="s">
        <v>83</v>
      </c>
      <c r="B34" s="21"/>
      <c r="C34" s="21"/>
      <c r="D34" s="21"/>
      <c r="E34" s="22">
        <v>231579</v>
      </c>
      <c r="F34" s="23">
        <v>1</v>
      </c>
      <c r="G34" s="23">
        <v>1</v>
      </c>
      <c r="H34" s="24" t="s">
        <v>84</v>
      </c>
      <c r="I34" s="21" t="s">
        <v>60</v>
      </c>
      <c r="J34" s="21"/>
    </row>
    <row r="35" spans="1:14" ht="13.5" customHeight="1" x14ac:dyDescent="0.2">
      <c r="A35" s="21" t="s">
        <v>85</v>
      </c>
      <c r="B35" s="21"/>
      <c r="C35" s="21"/>
      <c r="D35" s="21"/>
      <c r="E35" s="22">
        <v>231580</v>
      </c>
      <c r="F35" s="23">
        <v>1</v>
      </c>
      <c r="G35" s="23">
        <v>1</v>
      </c>
      <c r="H35" s="24" t="s">
        <v>86</v>
      </c>
      <c r="I35" s="21" t="s">
        <v>60</v>
      </c>
      <c r="J35" s="21"/>
    </row>
    <row r="36" spans="1:14" ht="13.5" customHeight="1" x14ac:dyDescent="0.2">
      <c r="A36" s="21" t="s">
        <v>87</v>
      </c>
      <c r="B36" s="21"/>
      <c r="C36" s="21"/>
      <c r="D36" s="21"/>
      <c r="E36" s="22">
        <v>231581</v>
      </c>
      <c r="F36" s="23">
        <v>1</v>
      </c>
      <c r="G36" s="23">
        <v>1</v>
      </c>
      <c r="H36" s="24" t="s">
        <v>88</v>
      </c>
      <c r="I36" s="21" t="s">
        <v>42</v>
      </c>
      <c r="J36" s="21"/>
    </row>
    <row r="37" spans="1:14" ht="13.5" customHeight="1" x14ac:dyDescent="0.2">
      <c r="A37" s="21" t="s">
        <v>89</v>
      </c>
      <c r="B37" s="21"/>
      <c r="C37" s="21"/>
      <c r="D37" s="21"/>
      <c r="E37" s="22">
        <v>231582</v>
      </c>
      <c r="F37" s="23">
        <v>1</v>
      </c>
      <c r="G37" s="23">
        <v>1</v>
      </c>
      <c r="H37" s="24" t="s">
        <v>90</v>
      </c>
      <c r="I37" s="21" t="s">
        <v>42</v>
      </c>
      <c r="J37" s="21"/>
    </row>
    <row r="38" spans="1:14" ht="12" customHeight="1" x14ac:dyDescent="0.2"/>
    <row r="39" spans="1:14" ht="12.95" customHeight="1" x14ac:dyDescent="0.2"/>
    <row r="40" spans="1:14" ht="15" customHeight="1" x14ac:dyDescent="0.2">
      <c r="J40" s="25"/>
      <c r="K40" s="26"/>
      <c r="L40" s="26"/>
      <c r="M40" s="26"/>
      <c r="N40" s="26"/>
    </row>
  </sheetData>
  <sheetProtection sheet="1" objects="1" scenarios="1" selectLockedCells="1"/>
  <mergeCells count="67">
    <mergeCell ref="A36:D36"/>
    <mergeCell ref="I36:J36"/>
    <mergeCell ref="A37:D37"/>
    <mergeCell ref="I37:J37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4:D14"/>
    <mergeCell ref="I14:J14"/>
    <mergeCell ref="A16:D16"/>
    <mergeCell ref="I16:J16"/>
    <mergeCell ref="A17:D17"/>
    <mergeCell ref="I17:J17"/>
    <mergeCell ref="A10:D10"/>
    <mergeCell ref="I10:J10"/>
    <mergeCell ref="A12:D12"/>
    <mergeCell ref="I12:J12"/>
    <mergeCell ref="A13:D13"/>
    <mergeCell ref="I13:J13"/>
    <mergeCell ref="A5:D5"/>
    <mergeCell ref="I5:J5"/>
    <mergeCell ref="L5:M5"/>
    <mergeCell ref="A8:D8"/>
    <mergeCell ref="I8:J8"/>
    <mergeCell ref="A9:D9"/>
    <mergeCell ref="I9:J9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0EC9E-204F-40A5-B03D-113DCD72F2FB}">
  <sheetPr codeName="Sheet5">
    <outlinePr summaryBelow="0" summaryRight="0"/>
    <pageSetUpPr autoPageBreaks="0"/>
  </sheetPr>
  <dimension ref="A1:AV40"/>
  <sheetViews>
    <sheetView tabSelected="1" topLeftCell="F1" workbookViewId="0">
      <pane ySplit="2" topLeftCell="A3" activePane="bottomLeft" state="frozenSplit"/>
      <selection pane="bottomLeft" activeCell="X3" sqref="X3:AG3"/>
    </sheetView>
  </sheetViews>
  <sheetFormatPr defaultColWidth="6.85546875" defaultRowHeight="12.75" customHeight="1" x14ac:dyDescent="0.2"/>
  <cols>
    <col min="1" max="1" width="19" style="3" customWidth="1"/>
    <col min="2" max="2" width="1.5703125" style="3" customWidth="1"/>
    <col min="3" max="3" width="4.5703125" style="3" customWidth="1"/>
    <col min="4" max="4" width="3.42578125" style="3" customWidth="1"/>
    <col min="5" max="5" width="10.7109375" style="3" customWidth="1"/>
    <col min="6" max="6" width="8.140625" style="3" bestFit="1" customWidth="1"/>
    <col min="7" max="7" width="6.7109375" style="3" customWidth="1"/>
    <col min="8" max="8" width="15.140625" style="3" bestFit="1" customWidth="1"/>
    <col min="9" max="9" width="16.7109375" style="3" customWidth="1"/>
    <col min="10" max="10" width="18.28515625" style="3" customWidth="1"/>
    <col min="11" max="12" width="3.7109375" style="3" customWidth="1"/>
    <col min="13" max="13" width="8.7109375" style="3" customWidth="1"/>
    <col min="14" max="14" width="2.7109375" style="3" customWidth="1"/>
    <col min="15" max="15" width="18.7109375" style="7" hidden="1" customWidth="1"/>
    <col min="16" max="16" width="20.7109375" style="8" hidden="1" customWidth="1"/>
    <col min="17" max="17" width="12.7109375" style="8" hidden="1" customWidth="1"/>
    <col min="18" max="18" width="10.7109375" style="8" hidden="1" customWidth="1"/>
    <col min="19" max="19" width="16.7109375" style="8" hidden="1" customWidth="1"/>
    <col min="20" max="20" width="25.7109375" style="9" hidden="1" customWidth="1"/>
    <col min="21" max="22" width="15.7109375" style="8" hidden="1" customWidth="1"/>
    <col min="23" max="23" width="20.7109375" style="8" hidden="1" customWidth="1"/>
    <col min="24" max="24" width="18.7109375" style="7" customWidth="1"/>
    <col min="25" max="27" width="20.7109375" style="8" customWidth="1"/>
    <col min="28" max="28" width="16.7109375" style="8" customWidth="1"/>
    <col min="29" max="29" width="25.7109375" style="9" customWidth="1"/>
    <col min="30" max="30" width="20.7109375" style="8" customWidth="1"/>
    <col min="31" max="31" width="2.7109375" style="8" customWidth="1"/>
    <col min="32" max="32" width="20.7109375" style="8" customWidth="1"/>
    <col min="33" max="33" width="15.7109375" style="8" customWidth="1"/>
    <col min="34" max="40" width="6.85546875" style="2" customWidth="1"/>
    <col min="41" max="41" width="18.7109375" style="7" hidden="1" customWidth="1"/>
    <col min="42" max="42" width="20.7109375" style="8" hidden="1" customWidth="1"/>
    <col min="43" max="43" width="12.7109375" style="8" hidden="1" customWidth="1"/>
    <col min="44" max="44" width="10.7109375" style="8" hidden="1" customWidth="1"/>
    <col min="45" max="45" width="16.7109375" style="8" hidden="1" customWidth="1"/>
    <col min="46" max="46" width="25.7109375" style="8" hidden="1" customWidth="1"/>
    <col min="47" max="47" width="15.7109375" style="8" hidden="1" customWidth="1"/>
    <col min="48" max="48" width="20.7109375" style="8" hidden="1" customWidth="1"/>
    <col min="49" max="16384" width="6.85546875" style="2" customWidth="1"/>
  </cols>
  <sheetData>
    <row r="1" spans="1:48" s="3" customFormat="1" ht="6.75" customHeight="1" x14ac:dyDescent="0.2">
      <c r="O1" s="27"/>
      <c r="P1" s="28"/>
      <c r="Q1" s="28"/>
      <c r="R1" s="28"/>
      <c r="S1" s="28"/>
      <c r="T1" s="29"/>
      <c r="U1" s="28"/>
      <c r="V1" s="28"/>
      <c r="W1" s="28"/>
      <c r="X1" s="27"/>
      <c r="Y1" s="28"/>
      <c r="Z1" s="28"/>
      <c r="AA1" s="28"/>
      <c r="AB1" s="28"/>
      <c r="AC1" s="29"/>
      <c r="AD1" s="28"/>
      <c r="AE1" s="28"/>
      <c r="AF1" s="28"/>
      <c r="AG1" s="28"/>
      <c r="AO1" s="27"/>
      <c r="AP1" s="28"/>
      <c r="AQ1" s="28"/>
      <c r="AR1" s="28"/>
      <c r="AS1" s="28"/>
      <c r="AT1" s="28"/>
      <c r="AU1" s="28"/>
      <c r="AV1" s="28"/>
    </row>
    <row r="2" spans="1:48" s="3" customFormat="1" ht="24" customHeight="1" x14ac:dyDescent="0.2">
      <c r="D2" s="14" t="s">
        <v>0</v>
      </c>
      <c r="E2" s="14"/>
      <c r="F2" s="14"/>
      <c r="G2" s="14"/>
      <c r="H2" s="14"/>
      <c r="I2" s="15" t="s">
        <v>49</v>
      </c>
      <c r="J2" s="15"/>
      <c r="K2" s="15"/>
      <c r="L2" s="15"/>
      <c r="O2" s="38" t="str">
        <f ca="1">"Outbound: "&amp;SUMPRODUCT(SUBTOTAL(103,OFFSET($E$6,ROW($E$6:$E$37)-ROW($E$6),0,1)),--($U$6:$U$37="OK"),--($E$6:$E$37&lt;&gt;""))&amp;"/"&amp;SUMPRODUCT(SUBTOTAL(103,OFFSET($E$6,ROW($E$6:$E$37)-ROW($E$6),0,1)),--($E$6:$E$37&lt;&gt;""))&amp;" • "&amp;TEXT(IFERROR(SUMPRODUCT(SUBTOTAL(103,OFFSET($E$6,ROW($E$6:$E$37)-ROW($E$6),0,1)),--((($V$6:$V$37="On-Time")+($V$6:$V$37="Early"))&gt;0),--($E$6:$E$37&lt;&gt;""))/SUMPRODUCT(SUBTOTAL(103,OFFSET($E$6,ROW($E$6:$E$37)-ROW($E$6),0,1)),--($E$6:$E$37&lt;&gt;"")),0),"0.0%")&amp;" On Time"</f>
        <v>Outbound: 0/28 • 0.0% On Time</v>
      </c>
      <c r="P2" s="38"/>
      <c r="Q2" s="38"/>
      <c r="R2" s="38"/>
      <c r="S2" s="38"/>
      <c r="T2" s="38"/>
      <c r="U2" s="38"/>
      <c r="V2" s="38"/>
      <c r="W2" s="38"/>
      <c r="X2" s="39" t="str">
        <f ca="1">"Inbound: "&amp;SUMPRODUCT(SUBTOTAL(103,OFFSET($E$6,ROW($E$6:$E$37)-ROW($E$6),0,1)),--($AD$6:$AD$37="Received"),--($E$6:$E$37&lt;&gt;""))&amp;"/"&amp;SUMPRODUCT(SUBTOTAL(103,OFFSET($E$6,ROW($E$6:$E$37)-ROW($E$6),0,1)),--($E$6:$E$37&lt;&gt;""))&amp;" • "&amp;TEXT(IFERROR(SUMPRODUCT(SUBTOTAL(103,OFFSET($E$6,ROW($E$6:$E$37)-ROW($E$6),0,1)),--($AD$6:$AD$37="Received"),--($E$6:$E$37&lt;&gt;""))/SUMPRODUCT(SUBTOTAL(103,OFFSET($E$6,ROW($E$6:$E$37)-ROW($E$6),0,1)),--($E$6:$E$37&lt;&gt;"")),0),"0.0%")&amp;" Complete"</f>
        <v>Inbound: 0/28 • 0.0% Complete</v>
      </c>
      <c r="Y2" s="39"/>
      <c r="Z2" s="39"/>
      <c r="AA2" s="39"/>
      <c r="AB2" s="39"/>
      <c r="AC2" s="39"/>
      <c r="AD2" s="39"/>
      <c r="AE2" s="39"/>
      <c r="AF2" s="39"/>
      <c r="AG2" s="39"/>
      <c r="AO2" s="40" t="str">
        <f ca="1">"Staged: "&amp;SUMPRODUCT(SUBTOTAL(103,OFFSET($E$6,ROW($E$6:$E$37)-ROW($E$6),0,1)),--($AU$6:$AU$37="OK"),--($E$6:$E$37&lt;&gt;""))&amp;"/"&amp;SUMPRODUCT(SUBTOTAL(103,OFFSET($E$6,ROW($E$6:$E$37)-ROW($E$6),0,1)),--($E$6:$E$37&lt;&gt;""))&amp;" • "&amp;TEXT(IFERROR(SUMPRODUCT(SUBTOTAL(103,OFFSET($E$6,ROW($E$6:$E$37)-ROW($E$6),0,1)),--($AU$6:$AU$37="OK"),--($E$6:$E$37&lt;&gt;""))/SUMPRODUCT(SUBTOTAL(103,OFFSET($E$6,ROW($E$6:$E$37)-ROW($E$6),0,1)),--($E$6:$E$37&lt;&gt;"")),0),"0.0%")&amp;" Complete"</f>
        <v>Staged: 0/28 • 0.0% Complete</v>
      </c>
      <c r="AP2" s="40"/>
      <c r="AQ2" s="40"/>
      <c r="AR2" s="40"/>
      <c r="AS2" s="40"/>
      <c r="AT2" s="40"/>
      <c r="AU2" s="40"/>
      <c r="AV2" s="40"/>
    </row>
    <row r="3" spans="1:48" ht="85.5" customHeight="1" x14ac:dyDescent="0.2">
      <c r="O3" s="36" t="s">
        <v>33</v>
      </c>
      <c r="P3" s="37"/>
      <c r="Q3" s="37"/>
      <c r="R3" s="37"/>
      <c r="S3" s="37"/>
      <c r="T3" s="37"/>
      <c r="U3" s="37"/>
      <c r="V3" s="37"/>
      <c r="W3" s="37"/>
      <c r="X3" s="36" t="s">
        <v>35</v>
      </c>
      <c r="Y3" s="37"/>
      <c r="Z3" s="37"/>
      <c r="AA3" s="37"/>
      <c r="AB3" s="37"/>
      <c r="AC3" s="37"/>
      <c r="AD3" s="37"/>
      <c r="AE3" s="37"/>
      <c r="AF3" s="37"/>
      <c r="AG3" s="37"/>
      <c r="AO3" s="36" t="s">
        <v>34</v>
      </c>
      <c r="AP3" s="37"/>
      <c r="AQ3" s="37"/>
      <c r="AR3" s="37"/>
      <c r="AS3" s="37"/>
      <c r="AT3" s="37"/>
      <c r="AU3" s="37"/>
      <c r="AV3" s="37"/>
    </row>
    <row r="4" spans="1:48" ht="20.100000000000001" customHeight="1" x14ac:dyDescent="0.2">
      <c r="O4" s="10" t="s">
        <v>9</v>
      </c>
      <c r="P4" s="11"/>
      <c r="X4" s="10" t="s">
        <v>9</v>
      </c>
      <c r="Y4" s="11"/>
      <c r="AO4" s="10" t="s">
        <v>9</v>
      </c>
      <c r="AP4" s="11"/>
      <c r="AT4" s="9"/>
    </row>
    <row r="5" spans="1:48" ht="15" customHeight="1" x14ac:dyDescent="0.2">
      <c r="A5" s="16" t="s">
        <v>1</v>
      </c>
      <c r="B5" s="16"/>
      <c r="C5" s="16"/>
      <c r="D5" s="16"/>
      <c r="E5" s="17" t="s">
        <v>2</v>
      </c>
      <c r="F5" s="18" t="s">
        <v>3</v>
      </c>
      <c r="G5" s="18" t="s">
        <v>4</v>
      </c>
      <c r="H5" s="17" t="s">
        <v>5</v>
      </c>
      <c r="I5" s="16" t="s">
        <v>6</v>
      </c>
      <c r="J5" s="16"/>
      <c r="L5" s="19" t="s">
        <v>44</v>
      </c>
      <c r="M5" s="19"/>
      <c r="P5" s="12" t="s">
        <v>10</v>
      </c>
      <c r="Q5" s="12" t="s">
        <v>2</v>
      </c>
      <c r="R5" s="12" t="s">
        <v>3</v>
      </c>
      <c r="S5" s="12" t="s">
        <v>11</v>
      </c>
      <c r="T5" s="13" t="s">
        <v>12</v>
      </c>
      <c r="U5" s="12" t="s">
        <v>13</v>
      </c>
      <c r="V5" s="12" t="s">
        <v>14</v>
      </c>
      <c r="W5" s="12" t="s">
        <v>15</v>
      </c>
      <c r="Y5" s="12" t="s">
        <v>16</v>
      </c>
      <c r="Z5" s="12" t="s">
        <v>17</v>
      </c>
      <c r="AA5" s="12" t="s">
        <v>18</v>
      </c>
      <c r="AB5" s="12" t="s">
        <v>19</v>
      </c>
      <c r="AC5" s="13" t="s">
        <v>20</v>
      </c>
      <c r="AD5" s="12" t="s">
        <v>21</v>
      </c>
      <c r="AE5" s="12"/>
      <c r="AF5" s="12" t="s">
        <v>15</v>
      </c>
      <c r="AG5" s="12" t="s">
        <v>22</v>
      </c>
      <c r="AP5" s="12" t="s">
        <v>10</v>
      </c>
      <c r="AQ5" s="12" t="s">
        <v>2</v>
      </c>
      <c r="AR5" s="12" t="s">
        <v>3</v>
      </c>
      <c r="AS5" s="12" t="s">
        <v>11</v>
      </c>
      <c r="AT5" s="12" t="s">
        <v>12</v>
      </c>
      <c r="AU5" s="12" t="s">
        <v>13</v>
      </c>
      <c r="AV5" s="12" t="s">
        <v>15</v>
      </c>
    </row>
    <row r="6" spans="1:48" ht="8.25" customHeight="1" x14ac:dyDescent="0.2"/>
    <row r="7" spans="1:48" ht="13.5" customHeight="1" x14ac:dyDescent="0.2">
      <c r="A7" s="20" t="s">
        <v>50</v>
      </c>
    </row>
    <row r="8" spans="1:48" ht="13.5" customHeight="1" x14ac:dyDescent="0.2">
      <c r="A8" s="21" t="s">
        <v>51</v>
      </c>
      <c r="B8" s="21"/>
      <c r="C8" s="21"/>
      <c r="D8" s="21"/>
      <c r="E8" s="22">
        <v>231588</v>
      </c>
      <c r="F8" s="23">
        <v>1</v>
      </c>
      <c r="G8" s="23">
        <v>1</v>
      </c>
      <c r="H8" s="24" t="s">
        <v>52</v>
      </c>
      <c r="I8" s="21" t="s">
        <v>23</v>
      </c>
      <c r="J8" s="21"/>
    </row>
    <row r="9" spans="1:48" ht="13.5" customHeight="1" x14ac:dyDescent="0.2">
      <c r="A9" s="21" t="s">
        <v>51</v>
      </c>
      <c r="B9" s="21"/>
      <c r="C9" s="21"/>
      <c r="D9" s="21"/>
      <c r="E9" s="22">
        <v>231588</v>
      </c>
      <c r="F9" s="23">
        <v>2</v>
      </c>
      <c r="G9" s="23">
        <v>1</v>
      </c>
      <c r="H9" s="24" t="s">
        <v>53</v>
      </c>
      <c r="I9" s="21" t="s">
        <v>23</v>
      </c>
      <c r="J9" s="21"/>
    </row>
    <row r="10" spans="1:48" ht="13.5" customHeight="1" x14ac:dyDescent="0.2">
      <c r="A10" s="21" t="s">
        <v>51</v>
      </c>
      <c r="B10" s="21"/>
      <c r="C10" s="21"/>
      <c r="D10" s="21"/>
      <c r="E10" s="22">
        <v>231588</v>
      </c>
      <c r="F10" s="23">
        <v>3</v>
      </c>
      <c r="G10" s="23">
        <v>1</v>
      </c>
      <c r="H10" s="24" t="s">
        <v>54</v>
      </c>
      <c r="I10" s="21" t="s">
        <v>23</v>
      </c>
      <c r="J10" s="21"/>
    </row>
    <row r="11" spans="1:48" ht="13.5" customHeight="1" x14ac:dyDescent="0.2">
      <c r="A11" s="20" t="s">
        <v>7</v>
      </c>
    </row>
    <row r="12" spans="1:48" ht="13.5" customHeight="1" x14ac:dyDescent="0.2">
      <c r="A12" s="21" t="s">
        <v>55</v>
      </c>
      <c r="B12" s="21"/>
      <c r="C12" s="21"/>
      <c r="D12" s="21"/>
      <c r="E12" s="22">
        <v>231555</v>
      </c>
      <c r="F12" s="23">
        <v>1</v>
      </c>
      <c r="G12" s="23">
        <v>1</v>
      </c>
      <c r="H12" s="24" t="s">
        <v>56</v>
      </c>
      <c r="I12" s="21" t="s">
        <v>48</v>
      </c>
      <c r="J12" s="21"/>
    </row>
    <row r="13" spans="1:48" ht="13.5" customHeight="1" x14ac:dyDescent="0.2">
      <c r="A13" s="21" t="s">
        <v>57</v>
      </c>
      <c r="B13" s="21"/>
      <c r="C13" s="21"/>
      <c r="D13" s="21"/>
      <c r="E13" s="22">
        <v>231563</v>
      </c>
      <c r="F13" s="23">
        <v>1</v>
      </c>
      <c r="G13" s="23">
        <v>1</v>
      </c>
      <c r="H13" s="24" t="s">
        <v>45</v>
      </c>
      <c r="I13" s="21" t="s">
        <v>42</v>
      </c>
      <c r="J13" s="21"/>
    </row>
    <row r="14" spans="1:48" ht="13.5" customHeight="1" x14ac:dyDescent="0.2">
      <c r="A14" s="21" t="s">
        <v>57</v>
      </c>
      <c r="B14" s="21"/>
      <c r="C14" s="21"/>
      <c r="D14" s="21"/>
      <c r="E14" s="22">
        <v>231563</v>
      </c>
      <c r="F14" s="23">
        <v>2</v>
      </c>
      <c r="G14" s="23">
        <v>1</v>
      </c>
      <c r="H14" s="24" t="s">
        <v>46</v>
      </c>
      <c r="I14" s="21" t="s">
        <v>42</v>
      </c>
      <c r="J14" s="21"/>
    </row>
    <row r="15" spans="1:48" ht="13.5" customHeight="1" x14ac:dyDescent="0.2">
      <c r="A15" s="20" t="s">
        <v>8</v>
      </c>
    </row>
    <row r="16" spans="1:48" ht="13.5" customHeight="1" x14ac:dyDescent="0.2">
      <c r="A16" s="21" t="s">
        <v>58</v>
      </c>
      <c r="B16" s="21"/>
      <c r="C16" s="21"/>
      <c r="D16" s="21"/>
      <c r="E16" s="22">
        <v>231538</v>
      </c>
      <c r="F16" s="23">
        <v>1</v>
      </c>
      <c r="G16" s="23">
        <v>1</v>
      </c>
      <c r="H16" s="24" t="s">
        <v>59</v>
      </c>
      <c r="I16" s="21" t="s">
        <v>60</v>
      </c>
      <c r="J16" s="21"/>
    </row>
    <row r="17" spans="1:10" ht="13.5" customHeight="1" x14ac:dyDescent="0.2">
      <c r="A17" s="21" t="s">
        <v>61</v>
      </c>
      <c r="B17" s="21"/>
      <c r="C17" s="21"/>
      <c r="D17" s="21"/>
      <c r="E17" s="22">
        <v>231572</v>
      </c>
      <c r="F17" s="23">
        <v>1</v>
      </c>
      <c r="G17" s="23">
        <v>1</v>
      </c>
      <c r="H17" s="24" t="s">
        <v>62</v>
      </c>
      <c r="I17" s="21" t="s">
        <v>48</v>
      </c>
      <c r="J17" s="21"/>
    </row>
    <row r="18" spans="1:10" ht="13.5" customHeight="1" x14ac:dyDescent="0.2">
      <c r="A18" s="21" t="s">
        <v>61</v>
      </c>
      <c r="B18" s="21"/>
      <c r="C18" s="21"/>
      <c r="D18" s="21"/>
      <c r="E18" s="22">
        <v>231572</v>
      </c>
      <c r="F18" s="23">
        <v>2</v>
      </c>
      <c r="G18" s="23">
        <v>1</v>
      </c>
      <c r="H18" s="24" t="s">
        <v>63</v>
      </c>
      <c r="I18" s="21" t="s">
        <v>48</v>
      </c>
      <c r="J18" s="21"/>
    </row>
    <row r="19" spans="1:10" ht="13.5" customHeight="1" x14ac:dyDescent="0.2">
      <c r="A19" s="21" t="s">
        <v>64</v>
      </c>
      <c r="B19" s="21"/>
      <c r="C19" s="21"/>
      <c r="D19" s="21"/>
      <c r="E19" s="22">
        <v>231573</v>
      </c>
      <c r="F19" s="23">
        <v>1</v>
      </c>
      <c r="G19" s="23">
        <v>1</v>
      </c>
      <c r="H19" s="24" t="s">
        <v>65</v>
      </c>
      <c r="I19" s="21" t="s">
        <v>66</v>
      </c>
      <c r="J19" s="21"/>
    </row>
    <row r="20" spans="1:10" ht="13.5" customHeight="1" x14ac:dyDescent="0.2">
      <c r="A20" s="21" t="s">
        <v>64</v>
      </c>
      <c r="B20" s="21"/>
      <c r="C20" s="21"/>
      <c r="D20" s="21"/>
      <c r="E20" s="22">
        <v>231573</v>
      </c>
      <c r="F20" s="23">
        <v>2</v>
      </c>
      <c r="G20" s="23">
        <v>1</v>
      </c>
      <c r="H20" s="24" t="s">
        <v>67</v>
      </c>
      <c r="I20" s="21" t="s">
        <v>66</v>
      </c>
      <c r="J20" s="21"/>
    </row>
    <row r="21" spans="1:10" ht="13.5" customHeight="1" x14ac:dyDescent="0.2">
      <c r="A21" s="21" t="s">
        <v>68</v>
      </c>
      <c r="B21" s="21"/>
      <c r="C21" s="21"/>
      <c r="D21" s="21"/>
      <c r="E21" s="22">
        <v>231574</v>
      </c>
      <c r="F21" s="23">
        <v>1</v>
      </c>
      <c r="G21" s="23">
        <v>1</v>
      </c>
      <c r="H21" s="24" t="s">
        <v>65</v>
      </c>
      <c r="I21" s="21" t="s">
        <v>66</v>
      </c>
      <c r="J21" s="21"/>
    </row>
    <row r="22" spans="1:10" ht="13.5" customHeight="1" x14ac:dyDescent="0.2">
      <c r="A22" s="21" t="s">
        <v>68</v>
      </c>
      <c r="B22" s="21"/>
      <c r="C22" s="21"/>
      <c r="D22" s="21"/>
      <c r="E22" s="22">
        <v>231574</v>
      </c>
      <c r="F22" s="23">
        <v>2</v>
      </c>
      <c r="G22" s="23">
        <v>1</v>
      </c>
      <c r="H22" s="24" t="s">
        <v>69</v>
      </c>
      <c r="I22" s="21" t="s">
        <v>66</v>
      </c>
      <c r="J22" s="21"/>
    </row>
    <row r="23" spans="1:10" ht="13.5" customHeight="1" x14ac:dyDescent="0.2">
      <c r="A23" s="21" t="s">
        <v>70</v>
      </c>
      <c r="B23" s="21"/>
      <c r="C23" s="21"/>
      <c r="D23" s="21"/>
      <c r="E23" s="22">
        <v>231575</v>
      </c>
      <c r="F23" s="23">
        <v>1</v>
      </c>
      <c r="G23" s="23">
        <v>1</v>
      </c>
      <c r="H23" s="24" t="s">
        <v>65</v>
      </c>
      <c r="I23" s="21" t="s">
        <v>66</v>
      </c>
      <c r="J23" s="21"/>
    </row>
    <row r="24" spans="1:10" ht="13.5" customHeight="1" x14ac:dyDescent="0.2">
      <c r="A24" s="21" t="s">
        <v>70</v>
      </c>
      <c r="B24" s="21"/>
      <c r="C24" s="21"/>
      <c r="D24" s="21"/>
      <c r="E24" s="22">
        <v>231575</v>
      </c>
      <c r="F24" s="23">
        <v>2</v>
      </c>
      <c r="G24" s="23">
        <v>1</v>
      </c>
      <c r="H24" s="24" t="s">
        <v>71</v>
      </c>
      <c r="I24" s="21" t="s">
        <v>66</v>
      </c>
      <c r="J24" s="21"/>
    </row>
    <row r="25" spans="1:10" ht="13.5" customHeight="1" x14ac:dyDescent="0.2">
      <c r="A25" s="21" t="s">
        <v>72</v>
      </c>
      <c r="B25" s="21"/>
      <c r="C25" s="21"/>
      <c r="D25" s="21"/>
      <c r="E25" s="22">
        <v>231576</v>
      </c>
      <c r="F25" s="23">
        <v>1</v>
      </c>
      <c r="G25" s="23">
        <v>1</v>
      </c>
      <c r="H25" s="24" t="s">
        <v>73</v>
      </c>
      <c r="I25" s="21" t="s">
        <v>66</v>
      </c>
      <c r="J25" s="21"/>
    </row>
    <row r="26" spans="1:10" ht="13.5" customHeight="1" x14ac:dyDescent="0.2">
      <c r="A26" s="21" t="s">
        <v>72</v>
      </c>
      <c r="B26" s="21"/>
      <c r="C26" s="21"/>
      <c r="D26" s="21"/>
      <c r="E26" s="22">
        <v>231576</v>
      </c>
      <c r="F26" s="23">
        <v>2</v>
      </c>
      <c r="G26" s="23">
        <v>1</v>
      </c>
      <c r="H26" s="24" t="s">
        <v>74</v>
      </c>
      <c r="I26" s="21" t="s">
        <v>66</v>
      </c>
      <c r="J26" s="21"/>
    </row>
    <row r="27" spans="1:10" ht="13.5" customHeight="1" x14ac:dyDescent="0.2">
      <c r="A27" s="21" t="s">
        <v>72</v>
      </c>
      <c r="B27" s="21"/>
      <c r="C27" s="21"/>
      <c r="D27" s="21"/>
      <c r="E27" s="22">
        <v>231576</v>
      </c>
      <c r="F27" s="23">
        <v>3</v>
      </c>
      <c r="G27" s="23">
        <v>1</v>
      </c>
      <c r="H27" s="24" t="s">
        <v>75</v>
      </c>
      <c r="I27" s="21" t="s">
        <v>66</v>
      </c>
      <c r="J27" s="21"/>
    </row>
    <row r="28" spans="1:10" ht="13.5" customHeight="1" x14ac:dyDescent="0.2">
      <c r="A28" s="21" t="s">
        <v>76</v>
      </c>
      <c r="B28" s="21"/>
      <c r="C28" s="21"/>
      <c r="D28" s="21"/>
      <c r="E28" s="22">
        <v>231577</v>
      </c>
      <c r="F28" s="23">
        <v>1</v>
      </c>
      <c r="G28" s="23">
        <v>1</v>
      </c>
      <c r="H28" s="24" t="s">
        <v>77</v>
      </c>
      <c r="I28" s="21" t="s">
        <v>66</v>
      </c>
      <c r="J28" s="21"/>
    </row>
    <row r="29" spans="1:10" ht="13.5" customHeight="1" x14ac:dyDescent="0.2">
      <c r="A29" s="21" t="s">
        <v>76</v>
      </c>
      <c r="B29" s="21"/>
      <c r="C29" s="21"/>
      <c r="D29" s="21"/>
      <c r="E29" s="22">
        <v>231577</v>
      </c>
      <c r="F29" s="23">
        <v>2</v>
      </c>
      <c r="G29" s="23">
        <v>1</v>
      </c>
      <c r="H29" s="24" t="s">
        <v>78</v>
      </c>
      <c r="I29" s="21" t="s">
        <v>66</v>
      </c>
      <c r="J29" s="21"/>
    </row>
    <row r="30" spans="1:10" ht="13.5" customHeight="1" x14ac:dyDescent="0.2">
      <c r="A30" s="21" t="s">
        <v>76</v>
      </c>
      <c r="B30" s="21"/>
      <c r="C30" s="21"/>
      <c r="D30" s="21"/>
      <c r="E30" s="22">
        <v>231577</v>
      </c>
      <c r="F30" s="23">
        <v>3</v>
      </c>
      <c r="G30" s="23">
        <v>1</v>
      </c>
      <c r="H30" s="24" t="s">
        <v>79</v>
      </c>
      <c r="I30" s="21" t="s">
        <v>66</v>
      </c>
      <c r="J30" s="21"/>
    </row>
    <row r="31" spans="1:10" ht="13.5" customHeight="1" x14ac:dyDescent="0.2">
      <c r="A31" s="21" t="s">
        <v>80</v>
      </c>
      <c r="B31" s="21"/>
      <c r="C31" s="21"/>
      <c r="D31" s="21"/>
      <c r="E31" s="22">
        <v>231578</v>
      </c>
      <c r="F31" s="23">
        <v>1</v>
      </c>
      <c r="G31" s="23">
        <v>1</v>
      </c>
      <c r="H31" s="24" t="s">
        <v>43</v>
      </c>
      <c r="I31" s="21" t="s">
        <v>60</v>
      </c>
      <c r="J31" s="21"/>
    </row>
    <row r="32" spans="1:10" ht="13.5" customHeight="1" x14ac:dyDescent="0.2">
      <c r="A32" s="21" t="s">
        <v>80</v>
      </c>
      <c r="B32" s="21"/>
      <c r="C32" s="21"/>
      <c r="D32" s="21"/>
      <c r="E32" s="22">
        <v>231578</v>
      </c>
      <c r="F32" s="23">
        <v>2</v>
      </c>
      <c r="G32" s="23">
        <v>1</v>
      </c>
      <c r="H32" s="24" t="s">
        <v>81</v>
      </c>
      <c r="I32" s="21" t="s">
        <v>60</v>
      </c>
      <c r="J32" s="21"/>
    </row>
    <row r="33" spans="1:14" ht="13.5" customHeight="1" x14ac:dyDescent="0.2">
      <c r="A33" s="21" t="s">
        <v>80</v>
      </c>
      <c r="B33" s="21"/>
      <c r="C33" s="21"/>
      <c r="D33" s="21"/>
      <c r="E33" s="22">
        <v>231578</v>
      </c>
      <c r="F33" s="23">
        <v>3</v>
      </c>
      <c r="G33" s="23">
        <v>1</v>
      </c>
      <c r="H33" s="24" t="s">
        <v>82</v>
      </c>
      <c r="I33" s="21" t="s">
        <v>60</v>
      </c>
      <c r="J33" s="21"/>
    </row>
    <row r="34" spans="1:14" ht="13.5" customHeight="1" x14ac:dyDescent="0.2">
      <c r="A34" s="21" t="s">
        <v>83</v>
      </c>
      <c r="B34" s="21"/>
      <c r="C34" s="21"/>
      <c r="D34" s="21"/>
      <c r="E34" s="22">
        <v>231579</v>
      </c>
      <c r="F34" s="23">
        <v>1</v>
      </c>
      <c r="G34" s="23">
        <v>1</v>
      </c>
      <c r="H34" s="24" t="s">
        <v>84</v>
      </c>
      <c r="I34" s="21" t="s">
        <v>60</v>
      </c>
      <c r="J34" s="21"/>
    </row>
    <row r="35" spans="1:14" ht="13.5" customHeight="1" x14ac:dyDescent="0.2">
      <c r="A35" s="21" t="s">
        <v>85</v>
      </c>
      <c r="B35" s="21"/>
      <c r="C35" s="21"/>
      <c r="D35" s="21"/>
      <c r="E35" s="22">
        <v>231580</v>
      </c>
      <c r="F35" s="23">
        <v>1</v>
      </c>
      <c r="G35" s="23">
        <v>1</v>
      </c>
      <c r="H35" s="24" t="s">
        <v>86</v>
      </c>
      <c r="I35" s="21" t="s">
        <v>60</v>
      </c>
      <c r="J35" s="21"/>
    </row>
    <row r="36" spans="1:14" ht="13.5" customHeight="1" x14ac:dyDescent="0.2">
      <c r="A36" s="21" t="s">
        <v>87</v>
      </c>
      <c r="B36" s="21"/>
      <c r="C36" s="21"/>
      <c r="D36" s="21"/>
      <c r="E36" s="22">
        <v>231581</v>
      </c>
      <c r="F36" s="23">
        <v>1</v>
      </c>
      <c r="G36" s="23">
        <v>1</v>
      </c>
      <c r="H36" s="24" t="s">
        <v>88</v>
      </c>
      <c r="I36" s="21" t="s">
        <v>42</v>
      </c>
      <c r="J36" s="21"/>
    </row>
    <row r="37" spans="1:14" ht="13.5" customHeight="1" x14ac:dyDescent="0.2">
      <c r="A37" s="21" t="s">
        <v>89</v>
      </c>
      <c r="B37" s="21"/>
      <c r="C37" s="21"/>
      <c r="D37" s="21"/>
      <c r="E37" s="22">
        <v>231582</v>
      </c>
      <c r="F37" s="23">
        <v>1</v>
      </c>
      <c r="G37" s="23">
        <v>1</v>
      </c>
      <c r="H37" s="24" t="s">
        <v>90</v>
      </c>
      <c r="I37" s="21" t="s">
        <v>42</v>
      </c>
      <c r="J37" s="21"/>
    </row>
    <row r="38" spans="1:14" ht="12" customHeight="1" x14ac:dyDescent="0.2"/>
    <row r="39" spans="1:14" ht="12.95" customHeight="1" x14ac:dyDescent="0.2"/>
    <row r="40" spans="1:14" ht="15" customHeight="1" x14ac:dyDescent="0.2">
      <c r="J40" s="25"/>
      <c r="K40" s="26"/>
      <c r="L40" s="26"/>
      <c r="M40" s="26"/>
      <c r="N40" s="26"/>
    </row>
  </sheetData>
  <sheetProtection sheet="1" objects="1" scenarios="1" selectLockedCells="1"/>
  <mergeCells count="67">
    <mergeCell ref="A36:D36"/>
    <mergeCell ref="I36:J36"/>
    <mergeCell ref="A37:D37"/>
    <mergeCell ref="I37:J37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4:D14"/>
    <mergeCell ref="I14:J14"/>
    <mergeCell ref="A16:D16"/>
    <mergeCell ref="I16:J16"/>
    <mergeCell ref="A17:D17"/>
    <mergeCell ref="I17:J17"/>
    <mergeCell ref="A10:D10"/>
    <mergeCell ref="I10:J10"/>
    <mergeCell ref="A12:D12"/>
    <mergeCell ref="I12:J12"/>
    <mergeCell ref="A13:D13"/>
    <mergeCell ref="I13:J13"/>
    <mergeCell ref="A5:D5"/>
    <mergeCell ref="I5:J5"/>
    <mergeCell ref="L5:M5"/>
    <mergeCell ref="A8:D8"/>
    <mergeCell ref="I8:J8"/>
    <mergeCell ref="A9:D9"/>
    <mergeCell ref="I9:J9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5FDF-20CC-46B8-AE93-586E5CE5005F}">
  <sheetPr codeName="Sheet1"/>
  <dimension ref="A1:F7"/>
  <sheetViews>
    <sheetView workbookViewId="0"/>
  </sheetViews>
  <sheetFormatPr defaultRowHeight="12.75" x14ac:dyDescent="0.2"/>
  <sheetData>
    <row r="1" spans="1:6" x14ac:dyDescent="0.2">
      <c r="A1" t="s">
        <v>24</v>
      </c>
      <c r="B1" t="s">
        <v>25</v>
      </c>
      <c r="C1" t="s">
        <v>26</v>
      </c>
    </row>
    <row r="2" spans="1:6" x14ac:dyDescent="0.2">
      <c r="C2" s="1"/>
    </row>
    <row r="5" spans="1:6" x14ac:dyDescent="0.2">
      <c r="A5" t="s">
        <v>27</v>
      </c>
      <c r="B5" t="s">
        <v>28</v>
      </c>
      <c r="D5" t="s">
        <v>38</v>
      </c>
      <c r="E5" t="s">
        <v>39</v>
      </c>
      <c r="F5" t="s">
        <v>40</v>
      </c>
    </row>
    <row r="6" spans="1:6" x14ac:dyDescent="0.2">
      <c r="A6" t="s">
        <v>29</v>
      </c>
      <c r="B6" t="s">
        <v>36</v>
      </c>
      <c r="D6" t="s">
        <v>29</v>
      </c>
      <c r="E6" t="s">
        <v>41</v>
      </c>
      <c r="F6" s="1">
        <v>46101.553472222222</v>
      </c>
    </row>
    <row r="7" spans="1:6" x14ac:dyDescent="0.2">
      <c r="D7" t="s">
        <v>29</v>
      </c>
      <c r="E7" t="s">
        <v>47</v>
      </c>
      <c r="F7" s="1">
        <v>46104.609722222223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Utility Panel</vt:lpstr>
      <vt:lpstr>Delivery List</vt:lpstr>
      <vt:lpstr>Staging - Airport Rd</vt:lpstr>
      <vt:lpstr>Outbound - Airport Rd</vt:lpstr>
      <vt:lpstr>Inbound - Indian Trail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Daniel McAbee</dc:creator>
  <dc:description>Powered by Crystal</dc:description>
  <cp:lastModifiedBy>Daniel McAbee</cp:lastModifiedBy>
  <cp:lastPrinted>2026-03-24T14:56:49Z</cp:lastPrinted>
  <dcterms:created xsi:type="dcterms:W3CDTF">2026-03-06T14:54:10Z</dcterms:created>
  <dcterms:modified xsi:type="dcterms:W3CDTF">2026-03-24T14:58:16Z</dcterms:modified>
</cp:coreProperties>
</file>