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I:\BAREFOOT-INSTALL\Glass Production\Brandon\Lists for Sharepoint\March - 2026\"/>
    </mc:Choice>
  </mc:AlternateContent>
  <xr:revisionPtr revIDLastSave="0" documentId="8_{023C7908-9162-4FC2-A27E-D0824CC69BAC}" xr6:coauthVersionLast="47" xr6:coauthVersionMax="47" xr10:uidLastSave="{00000000-0000-0000-0000-000000000000}"/>
  <bookViews>
    <workbookView xWindow="-28920" yWindow="-120" windowWidth="29040" windowHeight="15720" activeTab="5" xr2:uid="{00000000-000D-0000-FFFF-FFFF00000000}"/>
  </bookViews>
  <sheets>
    <sheet name="Utility Panel" sheetId="29" r:id="rId1"/>
    <sheet name="Delivery List" sheetId="601" r:id="rId2"/>
    <sheet name="Staging - Airport Rd" sheetId="614" r:id="rId3"/>
    <sheet name="Outbound - Airport Rd" sheetId="615" r:id="rId4"/>
    <sheet name="Inbound - Indian Trail" sheetId="616" r:id="rId5"/>
    <sheet name="Inbound - Greenville" sheetId="617" r:id="rId6"/>
    <sheet name="__ChangeAudit" sheetId="10" state="veryHidden" r:id="rId7"/>
  </sheets>
  <functionGroups builtInGroupCount="19"/>
  <definedNames>
    <definedName name="_DeliveryEditMode">FALSE</definedName>
    <definedName name="_LastScanHighlight_DELIVERY_LIST">75</definedName>
    <definedName name="_LastScanHighlight_INBOUND___GREENVILLE">121</definedName>
    <definedName name="_LastScanHighlight_INBOUND___INDIAN_TRAIL">92</definedName>
    <definedName name="_LastScanHighlight_OUTBOUND___AIRPORT_RD">121</definedName>
    <definedName name="_LastScanHighlight_STAGING___AIRPORT_RD">75</definedName>
    <definedName name="_ReceiveDestination">"Indian Trail"</definedName>
    <definedName name="CommentsWidthInit_Sheet1_28">TRUE</definedName>
    <definedName name="LastHighlightRow_Sheet1">49</definedName>
    <definedName name="LastHighlightRow_Sheet2">49</definedName>
    <definedName name="LastHighlightRow_Sheet3">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" i="617" l="1"/>
  <c r="X2" i="617"/>
  <c r="O2" i="617"/>
  <c r="AO2" i="616"/>
  <c r="X2" i="616"/>
  <c r="O2" i="616"/>
  <c r="AO2" i="615"/>
  <c r="X2" i="615"/>
  <c r="O2" i="615"/>
  <c r="AO2" i="614"/>
  <c r="X2" i="614"/>
  <c r="O2" i="614"/>
  <c r="AO2" i="601"/>
  <c r="X2" i="601"/>
  <c r="O2" i="601"/>
</calcChain>
</file>

<file path=xl/sharedStrings.xml><?xml version="1.0" encoding="utf-8"?>
<sst xmlns="http://schemas.openxmlformats.org/spreadsheetml/2006/main" count="2380" uniqueCount="213">
  <si>
    <t>DELIVERY LIST FOR</t>
  </si>
  <si>
    <t>Job Nr.</t>
  </si>
  <si>
    <t>Order Nr.</t>
  </si>
  <si>
    <t>Item Nr.</t>
  </si>
  <si>
    <t>Qty.</t>
  </si>
  <si>
    <t>Dimensions</t>
  </si>
  <si>
    <t>Customer</t>
  </si>
  <si>
    <t>1/4" Mirror</t>
  </si>
  <si>
    <t>3/8" Clear Tempered</t>
  </si>
  <si>
    <t>Most Recent Scan:</t>
  </si>
  <si>
    <t>Barcode</t>
  </si>
  <si>
    <t>Qty Scanned</t>
  </si>
  <si>
    <t>Date &amp; Time Scanned</t>
  </si>
  <si>
    <t>Check</t>
  </si>
  <si>
    <t>Delivery Timing</t>
  </si>
  <si>
    <t>Comments</t>
  </si>
  <si>
    <t>Barcode Received</t>
  </si>
  <si>
    <t>Order Nr. Received</t>
  </si>
  <si>
    <t>Item Nr. Received</t>
  </si>
  <si>
    <t>Qty Received</t>
  </si>
  <si>
    <t>Date &amp; Time Received</t>
  </si>
  <si>
    <t>Received Check</t>
  </si>
  <si>
    <t>Bay Nr.</t>
  </si>
  <si>
    <t>29" x 36"</t>
  </si>
  <si>
    <t>DR HORTON</t>
  </si>
  <si>
    <t>22" x 36"</t>
  </si>
  <si>
    <t>LENNAR HOMES</t>
  </si>
  <si>
    <t>CurrentChangeKey</t>
  </si>
  <si>
    <t>ChangedBy</t>
  </si>
  <si>
    <t>ChangedAt</t>
  </si>
  <si>
    <t>User</t>
  </si>
  <si>
    <t>SeenChangeKey</t>
  </si>
  <si>
    <t>daniel.mcabee</t>
  </si>
  <si>
    <t>Actions</t>
  </si>
  <si>
    <t>Navigation</t>
  </si>
  <si>
    <t>Utility Panel</t>
  </si>
  <si>
    <t>Outbound - Airport Rd</t>
  </si>
  <si>
    <t>Staging - Airport Rd</t>
  </si>
  <si>
    <t>Inbound - Indian Trail</t>
  </si>
  <si>
    <t>MATTAMY HOMES</t>
  </si>
  <si>
    <t>20260320_075525</t>
  </si>
  <si>
    <t>Use the buttons below to import a new delivery list, update an existing list, save a SharePoint copy, sync scanner sheets, and jump directly to the working tabs.</t>
  </si>
  <si>
    <t>PopupUser</t>
  </si>
  <si>
    <t>PopupNoticeKey</t>
  </si>
  <si>
    <t>SeenAt</t>
  </si>
  <si>
    <t>EDIT_MODE_WARNING_V1</t>
  </si>
  <si>
    <t>70" x 48"</t>
  </si>
  <si>
    <t>34" x 48"</t>
  </si>
  <si>
    <t>36" x 48"</t>
  </si>
  <si>
    <t>65" x 48"</t>
  </si>
  <si>
    <t>52" x 42"</t>
  </si>
  <si>
    <t>47" x 42"</t>
  </si>
  <si>
    <t>JP ORLEANS</t>
  </si>
  <si>
    <t>70" x 54"</t>
  </si>
  <si>
    <t>PULTE GROUP</t>
  </si>
  <si>
    <t>72" x 48"</t>
  </si>
  <si>
    <t>106" x 42"</t>
  </si>
  <si>
    <t>79 1/2" x 28 1/4"</t>
  </si>
  <si>
    <t>79 1/2" x 28 1/16"</t>
  </si>
  <si>
    <t>BFS East Greenville SC MW</t>
  </si>
  <si>
    <t>28" x 79 1/2"</t>
  </si>
  <si>
    <t>86458157.2R 103 GLENWAY</t>
  </si>
  <si>
    <t>FAITHWOOD CONST</t>
  </si>
  <si>
    <t>Inbound - Greenville</t>
  </si>
  <si>
    <t>Route</t>
  </si>
  <si>
    <t>FRAMED MIRROR</t>
  </si>
  <si>
    <t>OK</t>
  </si>
  <si>
    <t>60" x 42"</t>
  </si>
  <si>
    <t>TAYLOR MORRIS BF AFTERPAINT</t>
  </si>
  <si>
    <t>KOLTER HOMES</t>
  </si>
  <si>
    <t xml:space="preserve"> 3/24/2026
</t>
  </si>
  <si>
    <t>86022758M ENCORE 259</t>
  </si>
  <si>
    <t>27" x 42"</t>
  </si>
  <si>
    <t>DAVID WEEKLEY HOMES</t>
  </si>
  <si>
    <t>32" x 42"</t>
  </si>
  <si>
    <t>86025447M ENCORE 256</t>
  </si>
  <si>
    <t>86850543M COVENTRY GLEN 18</t>
  </si>
  <si>
    <t>61" x 42"</t>
  </si>
  <si>
    <t>56" x 42"</t>
  </si>
  <si>
    <t>49" x 42"</t>
  </si>
  <si>
    <t>86851024M RIVER DISTRICT 6</t>
  </si>
  <si>
    <t>SAUSSY BURBANK HOMES</t>
  </si>
  <si>
    <t>71" x 48"</t>
  </si>
  <si>
    <t>26" x 48"</t>
  </si>
  <si>
    <t>48" x 48"</t>
  </si>
  <si>
    <t>86851604M KENDALL 11</t>
  </si>
  <si>
    <t>92" x 35"</t>
  </si>
  <si>
    <t>GRAND LIVING HOMES</t>
  </si>
  <si>
    <t>27 1/2" x 35"</t>
  </si>
  <si>
    <t>38" x 35"</t>
  </si>
  <si>
    <t>42470131.5 402 TURTLEBACK</t>
  </si>
  <si>
    <t>54 5/8" x 36 5/8"</t>
  </si>
  <si>
    <t>30 5/8" x 36 5/8"</t>
  </si>
  <si>
    <t>42509549.1 2629 HEADWIND</t>
  </si>
  <si>
    <t>32 5/8" x 26 5/8"</t>
  </si>
  <si>
    <t>32 11/16" x 26 11/16"</t>
  </si>
  <si>
    <t>42509549.5 1045 ODELL</t>
  </si>
  <si>
    <t>36 5/8" x 63 5/8"</t>
  </si>
  <si>
    <t>36 5/8" x 63 11/16"</t>
  </si>
  <si>
    <t>36 11/16" x 22 5/8"</t>
  </si>
  <si>
    <t>22 5/8" x 36 5/8"</t>
  </si>
  <si>
    <t>28 5/8" x 36 11/16"</t>
  </si>
  <si>
    <t>20 11/16" x 36 11/16"</t>
  </si>
  <si>
    <t>42509549.8 2013 DETWEILER</t>
  </si>
  <si>
    <t>36 5/8" x 20 11/16"</t>
  </si>
  <si>
    <t>51 5/8" x 36 5/8"</t>
  </si>
  <si>
    <t>48 5/8" x 36 5/8"</t>
  </si>
  <si>
    <t>36 5/8" x 48 5/8"</t>
  </si>
  <si>
    <t>42509549.9 2246 MILLENNIUM</t>
  </si>
  <si>
    <t>26 9/16" x 32 5/8"</t>
  </si>
  <si>
    <t>85737733M THE FALLS 116</t>
  </si>
  <si>
    <t>85738843M REEDY CREEK 66</t>
  </si>
  <si>
    <t>85738869M REEDY CREEK 67</t>
  </si>
  <si>
    <t>85739057M CLARK CREEK 241</t>
  </si>
  <si>
    <t>85894261M CLARK CREEK 316</t>
  </si>
  <si>
    <t>85894287M CLARK CREEK 78</t>
  </si>
  <si>
    <t>85894312M CLARK CREEK 79</t>
  </si>
  <si>
    <t>85925386M HEDGECLIFF 38</t>
  </si>
  <si>
    <t>86004337M REDHAWK ENCLAVE 108</t>
  </si>
  <si>
    <t>28" x 42"</t>
  </si>
  <si>
    <t>100" x 42"</t>
  </si>
  <si>
    <t>85456170M LAKE NORMAN 86</t>
  </si>
  <si>
    <t>85456249M LAKE NORMAN 87</t>
  </si>
  <si>
    <t>85457397M LAKE NORMAN 88</t>
  </si>
  <si>
    <t>85925129M BRATTON POINTE 160</t>
  </si>
  <si>
    <t>35" x 54"</t>
  </si>
  <si>
    <t>85925142M BRATTON POINTE 156</t>
  </si>
  <si>
    <t>36" x 54"</t>
  </si>
  <si>
    <t>85925185M BRATTON POINTE 157</t>
  </si>
  <si>
    <t>41" x 54"</t>
  </si>
  <si>
    <t>85925255M BRATTON POINTE 159</t>
  </si>
  <si>
    <t>40" x 54"</t>
  </si>
  <si>
    <t>85925651M CHEYNEY 553</t>
  </si>
  <si>
    <t>85925684M CHEYNEY 551</t>
  </si>
  <si>
    <t>85925700M CHEYNEY 550</t>
  </si>
  <si>
    <t>85925714M CHEYNEY 554</t>
  </si>
  <si>
    <t>86162583M WILSON FARM 110</t>
  </si>
  <si>
    <t>65" x 42"</t>
  </si>
  <si>
    <t>MERITAGE HOMES</t>
  </si>
  <si>
    <t>86912419M GLENHURST 80</t>
  </si>
  <si>
    <t>STANLEY MARTIN HMES **</t>
  </si>
  <si>
    <t>85925202M BRATTON POINTE 158</t>
  </si>
  <si>
    <t>85897378 WESLEY CHAPEL 489</t>
  </si>
  <si>
    <t>79 1/2" x 30"</t>
  </si>
  <si>
    <t>30" x 80"</t>
  </si>
  <si>
    <t>45 7/8" x 80 13/32"</t>
  </si>
  <si>
    <t>85897378.2 WESLEY CHAPEL 489</t>
  </si>
  <si>
    <t>29 7/16" x 80 1/16"</t>
  </si>
  <si>
    <t>85897378.3 WESLEY CHAPEL 489</t>
  </si>
  <si>
    <t>80" x 29 13/16"</t>
  </si>
  <si>
    <t>86022758 ENCORE 259</t>
  </si>
  <si>
    <t>77" x 42"</t>
  </si>
  <si>
    <t>86025447 ENCORE 256</t>
  </si>
  <si>
    <t>42 1/16" x 77 1/4"</t>
  </si>
  <si>
    <t>86318393 CAROLINA RIVERSIDE 293</t>
  </si>
  <si>
    <t>17 13/16" x 37 7/8"</t>
  </si>
  <si>
    <t>38" x 41 13/16"</t>
  </si>
  <si>
    <t>86850543 COVENTRY GLEN 18</t>
  </si>
  <si>
    <t>79 1/2" x 28 3/16"</t>
  </si>
  <si>
    <t>17 1/8" x 80"</t>
  </si>
  <si>
    <t>86851024 RIVER DISTRICT 6</t>
  </si>
  <si>
    <t>58" x 102 3/16"</t>
  </si>
  <si>
    <t>86851604 KENDALL 11</t>
  </si>
  <si>
    <t>94" x 77"</t>
  </si>
  <si>
    <t>86868790 PRIMARY HP08  42521746</t>
  </si>
  <si>
    <t>86868790.2 Primary HP08 42521746</t>
  </si>
  <si>
    <t>47 1/16" x 80"</t>
  </si>
  <si>
    <t>86883919 113 FOXTAIL CT 42525487</t>
  </si>
  <si>
    <t>35 3/4" x 80"</t>
  </si>
  <si>
    <t>35 5/8" x 80"</t>
  </si>
  <si>
    <t>86884102 115 FOXTAIL CT 42525544</t>
  </si>
  <si>
    <t>35 7/8" x 80"</t>
  </si>
  <si>
    <t>28" x 79 7/16"</t>
  </si>
  <si>
    <t>80" x 35 15/16"</t>
  </si>
  <si>
    <t>41 5/8" x 56 1/8"</t>
  </si>
  <si>
    <t>CHIOTT CUSTOM HOMES</t>
  </si>
  <si>
    <t>96 3/8" x 56 1/8"</t>
  </si>
  <si>
    <t>85689944M.3 ENCORE 43</t>
  </si>
  <si>
    <t>85895592M.3 INDIAN TRAIL 105</t>
  </si>
  <si>
    <t>94" x 40"</t>
  </si>
  <si>
    <t>86733563M.2 COVENTRY GLEN 4</t>
  </si>
  <si>
    <t>16 3/8" x 83 7/8"</t>
  </si>
  <si>
    <t>UPDATE_COMPLETE_NOTICE_V1</t>
  </si>
  <si>
    <t>85925176M.2 BRATTON POINTE 162</t>
  </si>
  <si>
    <t>85925835M.2 WAXHAW LANDING 56</t>
  </si>
  <si>
    <t>85802162M.2 WAXHAW LANDING 71</t>
  </si>
  <si>
    <t xml:space="preserve">86365072.3 2254 SHARON </t>
  </si>
  <si>
    <t>20260323_144853</t>
  </si>
  <si>
    <t>T200231404001000</t>
  </si>
  <si>
    <t>T200231404002000</t>
  </si>
  <si>
    <t>T200231404003000</t>
  </si>
  <si>
    <t>T200231405001000</t>
  </si>
  <si>
    <t>T200231405002000</t>
  </si>
  <si>
    <t>T200231406001000</t>
  </si>
  <si>
    <t>T200231406002000</t>
  </si>
  <si>
    <t>T200231408001000</t>
  </si>
  <si>
    <t>T200231409001000</t>
  </si>
  <si>
    <t>T200231409002000</t>
  </si>
  <si>
    <t>T200231410001000</t>
  </si>
  <si>
    <t>T200231410002000</t>
  </si>
  <si>
    <t>T200231411001000</t>
  </si>
  <si>
    <t>T200231411002000</t>
  </si>
  <si>
    <t>T200231412001000</t>
  </si>
  <si>
    <t>T200231413001000</t>
  </si>
  <si>
    <t>T200231425002000</t>
  </si>
  <si>
    <t>T200231444002000</t>
  </si>
  <si>
    <t>T200231445001000</t>
  </si>
  <si>
    <t>T200231445002000</t>
  </si>
  <si>
    <t>T200231446001000</t>
  </si>
  <si>
    <t>T200231446002000</t>
  </si>
  <si>
    <t>T200231447001000</t>
  </si>
  <si>
    <t>T200231447002000</t>
  </si>
  <si>
    <t>Early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</si>
</sst>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;#"/>
    <numFmt numFmtId="165" formatCode="m/d/yyyy\ h:mm\ AM/PM"/>
    <numFmt numFmtId="166" formatCode="h\.mm\ "/>
  </numFmts>
  <fonts count="20" x14ac:knownFonts="1">
    <font>
      <sz val="10"/>
      <color rgb="FF000000"/>
      <name val="ARIAL"/>
      <charset val="1"/>
    </font>
    <font>
      <b/>
      <sz val="20"/>
      <color rgb="FF000000"/>
      <name val="Arial"/>
      <family val="16"/>
      <charset val="1"/>
    </font>
    <font>
      <b/>
      <sz val="10"/>
      <color rgb="FF000000"/>
      <name val="Arial"/>
      <family val="16"/>
      <charset val="1"/>
    </font>
    <font>
      <sz val="8"/>
      <color rgb="FF000000"/>
      <name val="ARIAL"/>
      <family val="16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0"/>
      <color rgb="FF006100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16"/>
      <charset val="1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ARIAL"/>
      <family val="2"/>
    </font>
    <font>
      <b/>
      <sz val="8"/>
      <color rgb="FF1F4E79"/>
      <name val="ARIAL"/>
      <family val="2"/>
    </font>
    <font>
      <b/>
      <sz val="10"/>
      <color rgb="FF1F4E79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8"/>
      <color rgb="FF400060"/>
      <name val="ARIAL"/>
      <family val="2"/>
    </font>
    <font>
      <b/>
      <sz val="10"/>
      <color rgb="FF400060"/>
      <name val="ARIAL"/>
      <family val="2"/>
    </font>
    <font>
      <b/>
      <sz val="10"/>
      <color rgb="FF00206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8A745"/>
        <bgColor indexed="64"/>
      </patternFill>
    </fill>
    <fill>
      <patternFill patternType="solid">
        <fgColor rgb="FF6C757D"/>
        <bgColor indexed="64"/>
      </patternFill>
    </fill>
    <fill>
      <patternFill patternType="solid">
        <fgColor rgb="FFC6EFCE"/>
        <bgColor rgb="FF000000"/>
      </patternFill>
    </fill>
    <fill>
      <patternFill patternType="solid">
        <fgColor rgb="FFDDD9EE"/>
        <bgColor indexed="64"/>
      </patternFill>
    </fill>
    <fill>
      <patternFill patternType="solid">
        <fgColor rgb="FFDDEBF7"/>
        <bgColor rgb="FF000000"/>
      </patternFill>
    </fill>
  </fills>
  <borders count="8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22" fontId="0" fillId="0" borderId="0" xfId="0" applyNumberFormat="1"/>
    <xf numFmtId="0" fontId="4" fillId="0" borderId="1" xfId="1" applyBorder="1" applyAlignment="1" applyProtection="1">
      <alignment horizontal="center" vertical="center"/>
      <protection locked="0"/>
    </xf>
    <xf numFmtId="0" fontId="4" fillId="0" borderId="0" xfId="1" applyProtection="1">
      <protection locked="0"/>
    </xf>
    <xf numFmtId="0" fontId="4" fillId="0" borderId="0" xfId="1" applyAlignment="1" applyProtection="1">
      <alignment horizontal="center" vertical="center"/>
      <protection locked="0"/>
    </xf>
    <xf numFmtId="165" fontId="4" fillId="0" borderId="0" xfId="1" applyNumberFormat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right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center" vertical="center"/>
      <protection locked="0"/>
    </xf>
    <xf numFmtId="0" fontId="6" fillId="0" borderId="3" xfId="1" applyFont="1" applyBorder="1" applyAlignment="1" applyProtection="1">
      <alignment horizontal="center" vertical="center"/>
      <protection locked="0"/>
    </xf>
    <xf numFmtId="0" fontId="6" fillId="0" borderId="4" xfId="1" applyFont="1" applyBorder="1" applyAlignment="1" applyProtection="1">
      <alignment horizontal="center" vertical="center"/>
      <protection locked="0"/>
    </xf>
    <xf numFmtId="0" fontId="7" fillId="2" borderId="2" xfId="1" applyFont="1" applyFill="1" applyBorder="1" applyAlignment="1" applyProtection="1">
      <alignment horizontal="center" vertical="center"/>
      <protection locked="0"/>
    </xf>
    <xf numFmtId="0" fontId="4" fillId="0" borderId="0" xfId="1" applyProtection="1"/>
    <xf numFmtId="0" fontId="1" fillId="0" borderId="0" xfId="1" applyFont="1" applyAlignment="1" applyProtection="1">
      <alignment horizontal="center" vertical="top" wrapText="1"/>
    </xf>
    <xf numFmtId="0" fontId="1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horizontal="center" vertical="top" wrapText="1"/>
    </xf>
    <xf numFmtId="0" fontId="2" fillId="0" borderId="0" xfId="1" applyFont="1" applyAlignment="1" applyProtection="1">
      <alignment horizontal="center" vertical="top" wrapText="1"/>
    </xf>
    <xf numFmtId="0" fontId="2" fillId="0" borderId="0" xfId="1" applyFont="1" applyAlignment="1" applyProtection="1">
      <alignment horizontal="left" vertical="top"/>
    </xf>
    <xf numFmtId="0" fontId="3" fillId="0" borderId="0" xfId="1" applyFont="1" applyAlignment="1" applyProtection="1">
      <alignment horizontal="left" vertical="top"/>
    </xf>
    <xf numFmtId="164" fontId="3" fillId="0" borderId="0" xfId="1" applyNumberFormat="1" applyFont="1" applyAlignment="1" applyProtection="1">
      <alignment horizontal="left" vertical="top"/>
    </xf>
    <xf numFmtId="164" fontId="3" fillId="0" borderId="0" xfId="1" applyNumberFormat="1" applyFont="1" applyAlignment="1" applyProtection="1">
      <alignment horizontal="center" vertical="top"/>
    </xf>
    <xf numFmtId="0" fontId="3" fillId="0" borderId="0" xfId="1" applyFont="1" applyAlignment="1" applyProtection="1">
      <alignment horizontal="left" vertical="top"/>
    </xf>
    <xf numFmtId="0" fontId="13" fillId="5" borderId="0" xfId="1" applyFont="1" applyFill="1" applyAlignment="1" applyProtection="1">
      <alignment horizontal="left" vertical="top"/>
    </xf>
    <xf numFmtId="164" fontId="13" fillId="5" borderId="0" xfId="1" applyNumberFormat="1" applyFont="1" applyFill="1" applyAlignment="1" applyProtection="1">
      <alignment horizontal="left" vertical="top"/>
    </xf>
    <xf numFmtId="164" fontId="13" fillId="5" borderId="0" xfId="1" applyNumberFormat="1" applyFont="1" applyFill="1" applyAlignment="1" applyProtection="1">
      <alignment horizontal="center" vertical="top"/>
    </xf>
    <xf numFmtId="0" fontId="13" fillId="5" borderId="0" xfId="1" applyFont="1" applyFill="1" applyAlignment="1" applyProtection="1">
      <alignment horizontal="left" vertical="top"/>
    </xf>
    <xf numFmtId="0" fontId="14" fillId="5" borderId="0" xfId="1" applyFont="1" applyFill="1" applyProtection="1"/>
    <xf numFmtId="14" fontId="9" fillId="0" borderId="0" xfId="1" applyNumberFormat="1" applyFont="1" applyAlignment="1" applyProtection="1">
      <alignment horizontal="right" vertical="top"/>
    </xf>
    <xf numFmtId="166" fontId="9" fillId="0" borderId="0" xfId="1" applyNumberFormat="1" applyFont="1" applyAlignment="1" applyProtection="1">
      <alignment horizontal="right" vertical="top"/>
    </xf>
    <xf numFmtId="0" fontId="4" fillId="0" borderId="1" xfId="1" applyBorder="1" applyAlignment="1" applyProtection="1">
      <alignment horizontal="center" vertical="center"/>
    </xf>
    <xf numFmtId="0" fontId="4" fillId="0" borderId="0" xfId="1" applyAlignment="1" applyProtection="1">
      <alignment horizontal="center" vertical="center"/>
    </xf>
    <xf numFmtId="165" fontId="4" fillId="0" borderId="0" xfId="1" applyNumberFormat="1" applyAlignment="1" applyProtection="1">
      <alignment horizontal="center" vertical="center"/>
    </xf>
    <xf numFmtId="0" fontId="0" fillId="0" borderId="0" xfId="0" applyProtection="1"/>
    <xf numFmtId="0" fontId="10" fillId="3" borderId="2" xfId="0" applyFont="1" applyFill="1" applyBorder="1" applyAlignment="1" applyProtection="1">
      <alignment horizontal="center" vertical="center"/>
    </xf>
    <xf numFmtId="0" fontId="11" fillId="4" borderId="2" xfId="0" applyFont="1" applyFill="1" applyBorder="1" applyAlignment="1" applyProtection="1">
      <alignment horizontal="center" vertical="center" wrapText="1"/>
    </xf>
    <xf numFmtId="0" fontId="12" fillId="3" borderId="2" xfId="0" applyFont="1" applyFill="1" applyBorder="1" applyAlignment="1" applyProtection="1">
      <alignment horizontal="center" vertical="center"/>
    </xf>
    <xf numFmtId="0" fontId="6" fillId="0" borderId="3" xfId="1" applyFont="1" applyBorder="1" applyAlignment="1" applyProtection="1">
      <alignment horizontal="center" vertical="center"/>
    </xf>
    <xf numFmtId="0" fontId="6" fillId="0" borderId="4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right" vertical="center"/>
    </xf>
    <xf numFmtId="0" fontId="7" fillId="2" borderId="2" xfId="1" applyFont="1" applyFill="1" applyBorder="1" applyAlignment="1" applyProtection="1">
      <alignment horizontal="center" vertical="center"/>
    </xf>
    <xf numFmtId="0" fontId="8" fillId="0" borderId="0" xfId="1" applyFont="1" applyAlignment="1" applyProtection="1">
      <alignment horizontal="center" vertical="center"/>
    </xf>
    <xf numFmtId="165" fontId="8" fillId="0" borderId="0" xfId="1" applyNumberFormat="1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22" fontId="4" fillId="0" borderId="0" xfId="0" applyNumberFormat="1" applyFont="1" applyAlignment="1" applyProtection="1">
      <alignment horizontal="center" vertical="center"/>
      <protection locked="0"/>
    </xf>
    <xf numFmtId="0" fontId="7" fillId="9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22" fontId="4" fillId="0" borderId="0" xfId="0" applyNumberFormat="1" applyFont="1" applyAlignment="1" applyProtection="1">
      <alignment horizontal="center" vertical="center"/>
    </xf>
    <xf numFmtId="0" fontId="7" fillId="9" borderId="0" xfId="0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  <protection locked="0"/>
    </xf>
    <xf numFmtId="0" fontId="15" fillId="6" borderId="5" xfId="1" applyFont="1" applyFill="1" applyBorder="1" applyAlignment="1" applyProtection="1">
      <alignment horizontal="center" vertical="center"/>
    </xf>
    <xf numFmtId="0" fontId="15" fillId="7" borderId="6" xfId="1" applyFont="1" applyFill="1" applyBorder="1" applyAlignment="1" applyProtection="1">
      <alignment horizontal="center" vertical="center"/>
    </xf>
    <xf numFmtId="0" fontId="15" fillId="8" borderId="6" xfId="1" applyFont="1" applyFill="1" applyBorder="1" applyAlignment="1" applyProtection="1">
      <alignment horizontal="center" vertical="center"/>
    </xf>
    <xf numFmtId="0" fontId="17" fillId="10" borderId="7" xfId="0" applyFont="1" applyFill="1" applyBorder="1" applyAlignment="1" applyProtection="1">
      <alignment horizontal="left" vertical="top"/>
    </xf>
    <xf numFmtId="164" fontId="17" fillId="10" borderId="7" xfId="0" applyNumberFormat="1" applyFont="1" applyFill="1" applyBorder="1" applyAlignment="1" applyProtection="1">
      <alignment horizontal="left" vertical="top"/>
    </xf>
    <xf numFmtId="164" fontId="17" fillId="10" borderId="7" xfId="0" applyNumberFormat="1" applyFont="1" applyFill="1" applyBorder="1" applyAlignment="1" applyProtection="1">
      <alignment horizontal="center" vertical="top"/>
    </xf>
    <xf numFmtId="0" fontId="17" fillId="10" borderId="7" xfId="0" applyFont="1" applyFill="1" applyBorder="1" applyAlignment="1" applyProtection="1">
      <alignment horizontal="left" vertical="top"/>
    </xf>
    <xf numFmtId="0" fontId="18" fillId="10" borderId="7" xfId="0" applyFont="1" applyFill="1" applyBorder="1" applyProtection="1"/>
    <xf numFmtId="0" fontId="17" fillId="10" borderId="7" xfId="1" applyFont="1" applyFill="1" applyBorder="1" applyAlignment="1" applyProtection="1">
      <alignment horizontal="left" vertical="top"/>
    </xf>
    <xf numFmtId="164" fontId="17" fillId="10" borderId="7" xfId="1" applyNumberFormat="1" applyFont="1" applyFill="1" applyBorder="1" applyAlignment="1" applyProtection="1">
      <alignment horizontal="left" vertical="top"/>
    </xf>
    <xf numFmtId="164" fontId="17" fillId="10" borderId="7" xfId="1" applyNumberFormat="1" applyFont="1" applyFill="1" applyBorder="1" applyAlignment="1" applyProtection="1">
      <alignment horizontal="center" vertical="top"/>
    </xf>
    <xf numFmtId="0" fontId="17" fillId="10" borderId="7" xfId="1" applyFont="1" applyFill="1" applyBorder="1" applyAlignment="1" applyProtection="1">
      <alignment horizontal="left" vertical="top"/>
    </xf>
    <xf numFmtId="0" fontId="18" fillId="10" borderId="7" xfId="1" applyFont="1" applyFill="1" applyBorder="1" applyProtection="1"/>
    <xf numFmtId="0" fontId="19" fillId="11" borderId="0" xfId="0" applyFont="1" applyFill="1" applyAlignment="1" applyProtection="1">
      <alignment horizontal="center" vertical="center"/>
      <protection locked="0"/>
    </xf>
    <xf numFmtId="0" fontId="19" fillId="11" borderId="0" xfId="0" applyFont="1" applyFill="1" applyAlignment="1" applyProtection="1">
      <alignment horizontal="center" vertical="center"/>
    </xf>
  </cellXfs>
  <cellStyles count="2">
    <cellStyle name="Normal" xfId="0" builtinId="0"/>
    <cellStyle name="Normal 2" xfId="1" xr:uid="{0607A8A7-426B-4023-AB29-32F8FF376C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565150</xdr:colOff>
      <xdr:row>9</xdr:row>
      <xdr:rowOff>120650</xdr:rowOff>
    </xdr:from>
    <xdr:to>
      <xdr:col>10</xdr:col>
      <xdr:colOff>415925</xdr:colOff>
      <xdr:row>11</xdr:row>
      <xdr:rowOff>31750</xdr:rowOff>
    </xdr:to>
    <xdr:sp macro="[0]!ImportNewDeliveryList" textlink="">
      <xdr:nvSpPr>
        <xdr:cNvPr id="1951" name="btnHomeImport">
          <a:extLst>
            <a:ext uri="{FF2B5EF4-FFF2-40B4-BE49-F238E27FC236}">
              <a16:creationId xmlns:a16="http://schemas.microsoft.com/office/drawing/2014/main" id="{1AA859FD-2378-7DE3-91D0-450B35CA9291}"/>
            </a:ext>
          </a:extLst>
        </xdr:cNvPr>
        <xdr:cNvSpPr/>
      </xdr:nvSpPr>
      <xdr:spPr>
        <a:xfrm>
          <a:off x="4899025" y="3397250"/>
          <a:ext cx="2794000" cy="444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Import New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11</xdr:row>
      <xdr:rowOff>120650</xdr:rowOff>
    </xdr:from>
    <xdr:to>
      <xdr:col>10</xdr:col>
      <xdr:colOff>415925</xdr:colOff>
      <xdr:row>13</xdr:row>
      <xdr:rowOff>31750</xdr:rowOff>
    </xdr:to>
    <xdr:sp macro="[0]!UpdateExistingDeliveryList" textlink="">
      <xdr:nvSpPr>
        <xdr:cNvPr id="1952" name="btnHomeUpdate">
          <a:extLst>
            <a:ext uri="{FF2B5EF4-FFF2-40B4-BE49-F238E27FC236}">
              <a16:creationId xmlns:a16="http://schemas.microsoft.com/office/drawing/2014/main" id="{AEDBCA19-E139-5094-F492-6547E253BE86}"/>
            </a:ext>
          </a:extLst>
        </xdr:cNvPr>
        <xdr:cNvSpPr/>
      </xdr:nvSpPr>
      <xdr:spPr>
        <a:xfrm>
          <a:off x="4899025" y="3930650"/>
          <a:ext cx="2794000" cy="444500"/>
        </a:xfrm>
        <a:prstGeom prst="roundRect">
          <a:avLst/>
        </a:prstGeom>
        <a:solidFill>
          <a:srgbClr val="6F42C1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Update Existing Delivery List</a:t>
          </a:r>
        </a:p>
      </xdr:txBody>
    </xdr:sp>
    <xdr:clientData fLocksWithSheet="0"/>
  </xdr:twoCellAnchor>
  <xdr:twoCellAnchor editAs="absolute">
    <xdr:from>
      <xdr:col>7</xdr:col>
      <xdr:colOff>565150</xdr:colOff>
      <xdr:row>13</xdr:row>
      <xdr:rowOff>120650</xdr:rowOff>
    </xdr:from>
    <xdr:to>
      <xdr:col>10</xdr:col>
      <xdr:colOff>415925</xdr:colOff>
      <xdr:row>15</xdr:row>
      <xdr:rowOff>31750</xdr:rowOff>
    </xdr:to>
    <xdr:sp macro="[0]!SaveCopyForSharePoint" textlink="">
      <xdr:nvSpPr>
        <xdr:cNvPr id="1953" name="btnHomeSave">
          <a:extLst>
            <a:ext uri="{FF2B5EF4-FFF2-40B4-BE49-F238E27FC236}">
              <a16:creationId xmlns:a16="http://schemas.microsoft.com/office/drawing/2014/main" id="{F30F292B-EEA0-D7FA-FCF0-8ABE9D1BD156}"/>
            </a:ext>
          </a:extLst>
        </xdr:cNvPr>
        <xdr:cNvSpPr/>
      </xdr:nvSpPr>
      <xdr:spPr>
        <a:xfrm>
          <a:off x="4899025" y="4464050"/>
          <a:ext cx="2794000" cy="444500"/>
        </a:xfrm>
        <a:prstGeom prst="roundRect">
          <a:avLst/>
        </a:prstGeom>
        <a:solidFill>
          <a:srgbClr val="27AE6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Save Copy for SharePoint (.xlsm)</a:t>
          </a:r>
        </a:p>
      </xdr:txBody>
    </xdr:sp>
    <xdr:clientData fLocksWithSheet="0"/>
  </xdr:twoCellAnchor>
  <xdr:twoCellAnchor editAs="absolute">
    <xdr:from>
      <xdr:col>7</xdr:col>
      <xdr:colOff>565150</xdr:colOff>
      <xdr:row>15</xdr:row>
      <xdr:rowOff>120650</xdr:rowOff>
    </xdr:from>
    <xdr:to>
      <xdr:col>10</xdr:col>
      <xdr:colOff>415925</xdr:colOff>
      <xdr:row>17</xdr:row>
      <xdr:rowOff>31750</xdr:rowOff>
    </xdr:to>
    <xdr:sp macro="[0]!SyncDeliveryListToScannerSheets" textlink="">
      <xdr:nvSpPr>
        <xdr:cNvPr id="1954" name="btnHomeSync">
          <a:extLst>
            <a:ext uri="{FF2B5EF4-FFF2-40B4-BE49-F238E27FC236}">
              <a16:creationId xmlns:a16="http://schemas.microsoft.com/office/drawing/2014/main" id="{E89D2026-232F-E4EC-B0E0-099C52154230}"/>
            </a:ext>
          </a:extLst>
        </xdr:cNvPr>
        <xdr:cNvSpPr/>
      </xdr:nvSpPr>
      <xdr:spPr>
        <a:xfrm>
          <a:off x="4899025" y="4997450"/>
          <a:ext cx="2794000" cy="444500"/>
        </a:xfrm>
        <a:prstGeom prst="roundRect">
          <a:avLst/>
        </a:prstGeom>
        <a:solidFill>
          <a:srgbClr val="8E44A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Sync to Scanner Sheets</a:t>
          </a:r>
        </a:p>
      </xdr:txBody>
    </xdr:sp>
    <xdr:clientData fLocksWithSheet="0"/>
  </xdr:twoCellAnchor>
  <xdr:twoCellAnchor editAs="absolute">
    <xdr:from>
      <xdr:col>7</xdr:col>
      <xdr:colOff>565150</xdr:colOff>
      <xdr:row>17</xdr:row>
      <xdr:rowOff>120650</xdr:rowOff>
    </xdr:from>
    <xdr:to>
      <xdr:col>10</xdr:col>
      <xdr:colOff>415925</xdr:colOff>
      <xdr:row>19</xdr:row>
      <xdr:rowOff>31750</xdr:rowOff>
    </xdr:to>
    <xdr:sp macro="[0]!OpenDeliveryListForEditing" textlink="">
      <xdr:nvSpPr>
        <xdr:cNvPr id="1955" name="btnGoDeliveryListEdit">
          <a:extLst>
            <a:ext uri="{FF2B5EF4-FFF2-40B4-BE49-F238E27FC236}">
              <a16:creationId xmlns:a16="http://schemas.microsoft.com/office/drawing/2014/main" id="{F4E62A7B-AE33-E59A-E584-B0509BBF3CEB}"/>
            </a:ext>
          </a:extLst>
        </xdr:cNvPr>
        <xdr:cNvSpPr/>
      </xdr:nvSpPr>
      <xdr:spPr>
        <a:xfrm>
          <a:off x="4899025" y="5530850"/>
          <a:ext cx="2794000" cy="444500"/>
        </a:xfrm>
        <a:prstGeom prst="roundRect">
          <a:avLst/>
        </a:prstGeom>
        <a:solidFill>
          <a:srgbClr val="C08000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Delivery List (Edit)</a:t>
          </a:r>
        </a:p>
      </xdr:txBody>
    </xdr:sp>
    <xdr:clientData fLocksWithSheet="0"/>
  </xdr:twoCellAnchor>
  <xdr:twoCellAnchor editAs="absolute">
    <xdr:from>
      <xdr:col>13</xdr:col>
      <xdr:colOff>565150</xdr:colOff>
      <xdr:row>9</xdr:row>
      <xdr:rowOff>120650</xdr:rowOff>
    </xdr:from>
    <xdr:to>
      <xdr:col>16</xdr:col>
      <xdr:colOff>415925</xdr:colOff>
      <xdr:row>11</xdr:row>
      <xdr:rowOff>31750</xdr:rowOff>
    </xdr:to>
    <xdr:sp macro="[0]!GoToDeliveryList" textlink="">
      <xdr:nvSpPr>
        <xdr:cNvPr id="1956" name="btnGoDeliveryList">
          <a:extLst>
            <a:ext uri="{FF2B5EF4-FFF2-40B4-BE49-F238E27FC236}">
              <a16:creationId xmlns:a16="http://schemas.microsoft.com/office/drawing/2014/main" id="{82CCB1D2-3871-D865-26AB-D186978BD48D}"/>
            </a:ext>
          </a:extLst>
        </xdr:cNvPr>
        <xdr:cNvSpPr/>
      </xdr:nvSpPr>
      <xdr:spPr>
        <a:xfrm>
          <a:off x="9451975" y="33972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- Delivery List</a:t>
          </a:r>
        </a:p>
      </xdr:txBody>
    </xdr:sp>
    <xdr:clientData fLocksWithSheet="0"/>
  </xdr:twoCellAnchor>
  <xdr:twoCellAnchor editAs="absolute">
    <xdr:from>
      <xdr:col>13</xdr:col>
      <xdr:colOff>565150</xdr:colOff>
      <xdr:row>11</xdr:row>
      <xdr:rowOff>120650</xdr:rowOff>
    </xdr:from>
    <xdr:to>
      <xdr:col>16</xdr:col>
      <xdr:colOff>415925</xdr:colOff>
      <xdr:row>13</xdr:row>
      <xdr:rowOff>31750</xdr:rowOff>
    </xdr:to>
    <xdr:sp macro="[0]!GoToAirportRd" textlink="">
      <xdr:nvSpPr>
        <xdr:cNvPr id="1957" name="btnGoAirportRd">
          <a:extLst>
            <a:ext uri="{FF2B5EF4-FFF2-40B4-BE49-F238E27FC236}">
              <a16:creationId xmlns:a16="http://schemas.microsoft.com/office/drawing/2014/main" id="{18248BD8-818F-C0BB-60D7-BD591AC778D0}"/>
            </a:ext>
          </a:extLst>
        </xdr:cNvPr>
        <xdr:cNvSpPr/>
      </xdr:nvSpPr>
      <xdr:spPr>
        <a:xfrm>
          <a:off x="9451975" y="39306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Outbound - Airport Rd</a:t>
          </a:r>
        </a:p>
      </xdr:txBody>
    </xdr:sp>
    <xdr:clientData fLocksWithSheet="0"/>
  </xdr:twoCellAnchor>
  <xdr:twoCellAnchor editAs="absolute">
    <xdr:from>
      <xdr:col>13</xdr:col>
      <xdr:colOff>565150</xdr:colOff>
      <xdr:row>13</xdr:row>
      <xdr:rowOff>120650</xdr:rowOff>
    </xdr:from>
    <xdr:to>
      <xdr:col>16</xdr:col>
      <xdr:colOff>415925</xdr:colOff>
      <xdr:row>15</xdr:row>
      <xdr:rowOff>31750</xdr:rowOff>
    </xdr:to>
    <xdr:sp macro="[0]!GoToReceiveSheet" textlink="">
      <xdr:nvSpPr>
        <xdr:cNvPr id="1958" name="btnGoReceiveSheet">
          <a:extLst>
            <a:ext uri="{FF2B5EF4-FFF2-40B4-BE49-F238E27FC236}">
              <a16:creationId xmlns:a16="http://schemas.microsoft.com/office/drawing/2014/main" id="{0C699DDA-9758-1509-5FB7-4C8EC629DB31}"/>
            </a:ext>
          </a:extLst>
        </xdr:cNvPr>
        <xdr:cNvSpPr/>
      </xdr:nvSpPr>
      <xdr:spPr>
        <a:xfrm>
          <a:off x="9451975" y="44640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Inbound - Indian Trail</a:t>
          </a:r>
        </a:p>
      </xdr:txBody>
    </xdr:sp>
    <xdr:clientData fLocksWithSheet="0"/>
  </xdr:twoCellAnchor>
  <xdr:twoCellAnchor editAs="absolute">
    <xdr:from>
      <xdr:col>13</xdr:col>
      <xdr:colOff>565150</xdr:colOff>
      <xdr:row>15</xdr:row>
      <xdr:rowOff>120650</xdr:rowOff>
    </xdr:from>
    <xdr:to>
      <xdr:col>16</xdr:col>
      <xdr:colOff>415925</xdr:colOff>
      <xdr:row>17</xdr:row>
      <xdr:rowOff>31750</xdr:rowOff>
    </xdr:to>
    <xdr:sp macro="[0]!GoToGreenvilleReceiveSheet" textlink="">
      <xdr:nvSpPr>
        <xdr:cNvPr id="1959" name="btnGoGreenville">
          <a:extLst>
            <a:ext uri="{FF2B5EF4-FFF2-40B4-BE49-F238E27FC236}">
              <a16:creationId xmlns:a16="http://schemas.microsoft.com/office/drawing/2014/main" id="{6540A844-6B4A-E7E9-A6B7-3DCFAC8A1284}"/>
            </a:ext>
          </a:extLst>
        </xdr:cNvPr>
        <xdr:cNvSpPr/>
      </xdr:nvSpPr>
      <xdr:spPr>
        <a:xfrm>
          <a:off x="9451975" y="4997450"/>
          <a:ext cx="2794000" cy="444500"/>
        </a:xfrm>
        <a:prstGeom prst="roundRect">
          <a:avLst/>
        </a:prstGeom>
        <a:solidFill>
          <a:srgbClr val="6C757D"/>
        </a:solidFill>
        <a:ln w="19050" cap="flat" cmpd="sng" algn="ctr">
          <a:noFill/>
          <a:prstDash val="solid"/>
          <a:miter lim="800000"/>
        </a:ln>
        <a:effectLst>
          <a:outerShdw blurRad="63500" dist="26941" dir="2700000" rotWithShape="0">
            <a:srgbClr val="A0A0A0">
              <a:alpha val="5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Open Inbound - Greenville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81855</xdr:colOff>
      <xdr:row>2</xdr:row>
      <xdr:rowOff>957878</xdr:rowOff>
    </xdr:to>
    <xdr:pic>
      <xdr:nvPicPr>
        <xdr:cNvPr id="2" name="Picture 65537">
          <a:extLst>
            <a:ext uri="{FF2B5EF4-FFF2-40B4-BE49-F238E27FC236}">
              <a16:creationId xmlns:a16="http://schemas.microsoft.com/office/drawing/2014/main" id="{768C7B98-090A-4883-85B4-C0D2027203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348680" cy="13484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5AD1-CBC5-415D-90A4-2209EB22DB27}">
  <sheetPr codeName="Sheet6"/>
  <dimension ref="H1:AA35"/>
  <sheetViews>
    <sheetView showGridLines="0" workbookViewId="0">
      <selection activeCell="D11" sqref="D11"/>
    </sheetView>
  </sheetViews>
  <sheetFormatPr defaultRowHeight="12.75" x14ac:dyDescent="0.2"/>
  <cols>
    <col min="1" max="5" width="10.7109375" style="34" customWidth="1"/>
    <col min="6" max="7" width="5.7109375" style="34" customWidth="1"/>
    <col min="8" max="11" width="14.7109375" style="34" customWidth="1"/>
    <col min="12" max="13" width="4.7109375" style="34" customWidth="1"/>
    <col min="14" max="17" width="14.7109375" style="34" customWidth="1"/>
    <col min="18" max="19" width="4.7109375" style="34" customWidth="1"/>
    <col min="20" max="25" width="9.140625" style="34"/>
    <col min="26" max="27" width="9.140625" style="34" hidden="1" customWidth="1"/>
    <col min="28" max="16384" width="9.140625" style="34"/>
  </cols>
  <sheetData>
    <row r="1" spans="8:17" ht="21.95" customHeight="1" x14ac:dyDescent="0.2"/>
    <row r="2" spans="8:17" ht="38.1" customHeight="1" x14ac:dyDescent="0.2">
      <c r="H2" s="35" t="s">
        <v>35</v>
      </c>
      <c r="I2" s="35"/>
      <c r="J2" s="35"/>
      <c r="K2" s="35"/>
      <c r="L2" s="35"/>
      <c r="M2" s="35"/>
      <c r="N2" s="35"/>
      <c r="O2" s="35"/>
      <c r="P2" s="35"/>
      <c r="Q2" s="35"/>
    </row>
    <row r="3" spans="8:17" ht="36" customHeight="1" x14ac:dyDescent="0.2">
      <c r="H3" s="35"/>
      <c r="I3" s="35"/>
      <c r="J3" s="35"/>
      <c r="K3" s="35"/>
      <c r="L3" s="35"/>
      <c r="M3" s="35"/>
      <c r="N3" s="35"/>
      <c r="O3" s="35"/>
      <c r="P3" s="35"/>
      <c r="Q3" s="35"/>
    </row>
    <row r="4" spans="8:17" ht="21.95" customHeight="1" x14ac:dyDescent="0.2"/>
    <row r="5" spans="8:17" ht="24" customHeight="1" x14ac:dyDescent="0.2">
      <c r="H5" s="36" t="s">
        <v>41</v>
      </c>
      <c r="I5" s="36"/>
      <c r="J5" s="36"/>
      <c r="K5" s="36"/>
      <c r="L5" s="36"/>
      <c r="M5" s="36"/>
      <c r="N5" s="36"/>
      <c r="O5" s="36"/>
      <c r="P5" s="36"/>
      <c r="Q5" s="36"/>
    </row>
    <row r="6" spans="8:17" ht="33.950000000000003" customHeight="1" x14ac:dyDescent="0.2">
      <c r="H6" s="36"/>
      <c r="I6" s="36"/>
      <c r="J6" s="36"/>
      <c r="K6" s="36"/>
      <c r="L6" s="36"/>
      <c r="M6" s="36"/>
      <c r="N6" s="36"/>
      <c r="O6" s="36"/>
      <c r="P6" s="36"/>
      <c r="Q6" s="36"/>
    </row>
    <row r="7" spans="8:17" ht="33.950000000000003" customHeight="1" x14ac:dyDescent="0.2">
      <c r="H7" s="36"/>
      <c r="I7" s="36"/>
      <c r="J7" s="36"/>
      <c r="K7" s="36"/>
      <c r="L7" s="36"/>
      <c r="M7" s="36"/>
      <c r="N7" s="36"/>
      <c r="O7" s="36"/>
      <c r="P7" s="36"/>
      <c r="Q7" s="36"/>
    </row>
    <row r="8" spans="8:17" ht="21.95" customHeight="1" x14ac:dyDescent="0.2"/>
    <row r="9" spans="8:17" ht="27.95" customHeight="1" x14ac:dyDescent="0.2">
      <c r="H9" s="37" t="s">
        <v>33</v>
      </c>
      <c r="I9" s="37"/>
      <c r="J9" s="37"/>
      <c r="K9" s="37"/>
      <c r="N9" s="37" t="s">
        <v>34</v>
      </c>
      <c r="O9" s="37"/>
      <c r="P9" s="37"/>
      <c r="Q9" s="37"/>
    </row>
    <row r="10" spans="8:17" ht="12" customHeight="1" x14ac:dyDescent="0.2"/>
    <row r="11" spans="8:17" ht="30" customHeight="1" x14ac:dyDescent="0.2"/>
    <row r="12" spans="8:17" ht="12" customHeight="1" x14ac:dyDescent="0.2"/>
    <row r="13" spans="8:17" ht="30" customHeight="1" x14ac:dyDescent="0.2"/>
    <row r="14" spans="8:17" ht="12" customHeight="1" x14ac:dyDescent="0.2"/>
    <row r="15" spans="8:17" ht="30" customHeight="1" x14ac:dyDescent="0.2"/>
    <row r="16" spans="8:17" ht="12" customHeight="1" x14ac:dyDescent="0.2"/>
    <row r="17" s="34" customFormat="1" ht="30" customHeight="1" x14ac:dyDescent="0.2"/>
    <row r="18" s="34" customFormat="1" ht="12" customHeight="1" x14ac:dyDescent="0.2"/>
    <row r="19" s="34" customFormat="1" ht="30" customHeight="1" x14ac:dyDescent="0.2"/>
    <row r="20" s="34" customFormat="1" ht="21.95" customHeight="1" x14ac:dyDescent="0.2"/>
    <row r="21" s="34" customFormat="1" ht="21.95" customHeight="1" x14ac:dyDescent="0.2"/>
    <row r="22" s="34" customFormat="1" ht="21.95" customHeight="1" x14ac:dyDescent="0.2"/>
    <row r="23" s="34" customFormat="1" ht="21.95" customHeight="1" x14ac:dyDescent="0.2"/>
    <row r="24" s="34" customFormat="1" ht="21.95" customHeight="1" x14ac:dyDescent="0.2"/>
    <row r="25" s="34" customFormat="1" ht="21.95" customHeight="1" x14ac:dyDescent="0.2"/>
    <row r="26" s="34" customFormat="1" ht="21.95" customHeight="1" x14ac:dyDescent="0.2"/>
    <row r="27" s="34" customFormat="1" ht="21.95" customHeight="1" x14ac:dyDescent="0.2"/>
    <row r="28" s="34" customFormat="1" ht="21.95" customHeight="1" x14ac:dyDescent="0.2"/>
    <row r="29" s="34" customFormat="1" ht="21.95" customHeight="1" x14ac:dyDescent="0.2"/>
    <row r="30" s="34" customFormat="1" ht="21.95" customHeight="1" x14ac:dyDescent="0.2"/>
    <row r="31" s="34" customFormat="1" ht="21.95" customHeight="1" x14ac:dyDescent="0.2"/>
    <row r="32" s="34" customFormat="1" ht="21.95" customHeight="1" x14ac:dyDescent="0.2"/>
    <row r="33" s="34" customFormat="1" ht="21.95" customHeight="1" x14ac:dyDescent="0.2"/>
    <row r="34" s="34" customFormat="1" ht="21.95" customHeight="1" x14ac:dyDescent="0.2"/>
    <row r="35" s="34" customFormat="1" ht="21.95" customHeight="1" x14ac:dyDescent="0.2"/>
  </sheetData>
  <sheetProtection sheet="1" scenarios="1"/>
  <mergeCells count="4">
    <mergeCell ref="H2:Q3"/>
    <mergeCell ref="H5:Q7"/>
    <mergeCell ref="H9:K9"/>
    <mergeCell ref="N9:Q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06B3-2146-41DC-A5D8-BEE9C0074550}">
  <sheetPr codeName="Sheet3">
    <outlinePr summaryBelow="0" summaryRight="0"/>
    <pageSetUpPr autoPageBreaks="0"/>
  </sheetPr>
  <dimension ref="A1:AV138"/>
  <sheetViews>
    <sheetView workbookViewId="0">
      <pane ySplit="2" topLeftCell="A3" activePane="bottomLeft" state="frozenSplit"/>
      <selection pane="bottomLeft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6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31" customWidth="1"/>
    <col min="16" max="16" width="20.7109375" style="32" customWidth="1"/>
    <col min="17" max="17" width="12.7109375" style="32" customWidth="1"/>
    <col min="18" max="18" width="10.7109375" style="32" customWidth="1"/>
    <col min="19" max="19" width="16.7109375" style="32" customWidth="1"/>
    <col min="20" max="20" width="25.7109375" style="33" customWidth="1"/>
    <col min="21" max="22" width="15.7109375" style="32" customWidth="1"/>
    <col min="23" max="23" width="20.7109375" style="32" customWidth="1"/>
    <col min="24" max="24" width="18.7109375" style="31" customWidth="1"/>
    <col min="25" max="27" width="20.7109375" style="32" customWidth="1"/>
    <col min="28" max="28" width="16.7109375" style="32" customWidth="1"/>
    <col min="29" max="29" width="25.7109375" style="33" customWidth="1"/>
    <col min="30" max="30" width="20.7109375" style="32" customWidth="1"/>
    <col min="31" max="31" width="2.7109375" style="32" hidden="1" customWidth="1"/>
    <col min="32" max="32" width="20.7109375" style="32" customWidth="1"/>
    <col min="33" max="33" width="15.7109375" style="32" customWidth="1"/>
    <col min="34" max="40" width="6.85546875" style="12"/>
    <col min="41" max="41" width="18.7109375" style="31" customWidth="1"/>
    <col min="42" max="42" width="20.7109375" style="32" customWidth="1"/>
    <col min="43" max="43" width="12.7109375" style="32" customWidth="1"/>
    <col min="44" max="44" width="10.7109375" style="32" customWidth="1"/>
    <col min="45" max="45" width="16.7109375" style="32" customWidth="1"/>
    <col min="46" max="46" width="25.7109375" style="32" customWidth="1"/>
    <col min="47" max="47" width="15.7109375" style="32" customWidth="1"/>
    <col min="48" max="48" width="20.7109375" style="32" customWidth="1"/>
    <col min="49" max="16384" width="6.85546875" style="12"/>
  </cols>
  <sheetData>
    <row r="1" spans="1:48" ht="6.75" customHeight="1" x14ac:dyDescent="0.2"/>
    <row r="2" spans="1:48" ht="24" customHeight="1" x14ac:dyDescent="0.2">
      <c r="D2" s="13" t="s">
        <v>0</v>
      </c>
      <c r="E2" s="13"/>
      <c r="F2" s="13"/>
      <c r="G2" s="13"/>
      <c r="H2" s="13"/>
      <c r="I2" s="14" t="s">
        <v>70</v>
      </c>
      <c r="J2" s="14"/>
      <c r="K2" s="14"/>
      <c r="L2" s="14"/>
      <c r="O2" s="54" t="str">
        <f ca="1">"Outbound: "&amp;SUMPRODUCT(SUBTOTAL(103,OFFSET($E$6,ROW($E$6:$E$135)-ROW($E$6),0,1)),--($U$6:$U$135="OK"),--($E$6:$E$135&lt;&gt;""))&amp;"/"&amp;SUMPRODUCT(SUBTOTAL(103,OFFSET($E$6,ROW($E$6:$E$135)-ROW($E$6),0,1)),--($E$6:$E$135&lt;&gt;""))&amp;" • "&amp;TEXT(IFERROR(SUMPRODUCT(SUBTOTAL(103,OFFSET($E$6,ROW($E$6:$E$135)-ROW($E$6),0,1)),--((($V$6:$V$135="On-Time")+($V$6:$V$135="Early"))&gt;0),--($E$6:$E$135&lt;&gt;""))/SUMPRODUCT(SUBTOTAL(103,OFFSET($E$6,ROW($E$6:$E$135)-ROW($E$6),0,1)),--($E$6:$E$135&lt;&gt;"")),0),"0.0%")&amp;" On Time"</f>
        <v>Outbound: 1/127 • 0.8% On Time</v>
      </c>
      <c r="P2" s="54"/>
      <c r="Q2" s="54"/>
      <c r="R2" s="54"/>
      <c r="S2" s="54"/>
      <c r="T2" s="54"/>
      <c r="U2" s="54"/>
      <c r="V2" s="54"/>
      <c r="W2" s="54"/>
      <c r="X2" s="55" t="str">
        <f ca="1">"Inbound: "&amp;SUMPRODUCT(SUBTOTAL(103,OFFSET($E$6,ROW($E$6:$E$135)-ROW($E$6),0,1)),--($AD$6:$AD$135="Received"),--($E$6:$E$135&lt;&gt;""))&amp;"/"&amp;SUMPRODUCT(SUBTOTAL(103,OFFSET($E$6,ROW($E$6:$E$135)-ROW($E$6),0,1)),--($E$6:$E$135&lt;&gt;""))&amp;" • "&amp;TEXT(IFERROR(SUMPRODUCT(SUBTOTAL(103,OFFSET($E$6,ROW($E$6:$E$135)-ROW($E$6),0,1)),--($AD$6:$AD$135="Received"),--($E$6:$E$135&lt;&gt;""))/SUMPRODUCT(SUBTOTAL(103,OFFSET($E$6,ROW($E$6:$E$135)-ROW($E$6),0,1)),--($E$6:$E$135&lt;&gt;"")),0),"0.0%")&amp;" Complete"</f>
        <v>Inbound: 0/127 • 0.0% Complete</v>
      </c>
      <c r="Y2" s="55"/>
      <c r="Z2" s="55"/>
      <c r="AA2" s="55"/>
      <c r="AB2" s="55"/>
      <c r="AC2" s="55"/>
      <c r="AD2" s="55"/>
      <c r="AE2" s="55"/>
      <c r="AF2" s="55"/>
      <c r="AG2" s="55"/>
      <c r="AO2" s="56" t="str">
        <f ca="1">"Staged: "&amp;SUMPRODUCT(SUBTOTAL(103,OFFSET($E$6,ROW($E$6:$E$135)-ROW($E$6),0,1)),--($AU$6:$AU$135="OK"),--($E$6:$E$135&lt;&gt;""))&amp;"/"&amp;SUMPRODUCT(SUBTOTAL(103,OFFSET($E$6,ROW($E$6:$E$135)-ROW($E$6),0,1)),--($E$6:$E$135&lt;&gt;""))&amp;" • "&amp;TEXT(IFERROR(SUMPRODUCT(SUBTOTAL(103,OFFSET($E$6,ROW($E$6:$E$135)-ROW($E$6),0,1)),--($AU$6:$AU$135="OK"),--($E$6:$E$135&lt;&gt;""))/SUMPRODUCT(SUBTOTAL(103,OFFSET($E$6,ROW($E$6:$E$135)-ROW($E$6),0,1)),--($E$6:$E$135&lt;&gt;"")),0),"0.0%")&amp;" Complete"</f>
        <v>Staged: 24/127 • 18.9% Complete</v>
      </c>
      <c r="AP2" s="56"/>
      <c r="AQ2" s="56"/>
      <c r="AR2" s="56"/>
      <c r="AS2" s="56"/>
      <c r="AT2" s="56"/>
      <c r="AU2" s="56"/>
      <c r="AV2" s="56"/>
    </row>
    <row r="3" spans="1:48" ht="85.5" customHeight="1" x14ac:dyDescent="0.2">
      <c r="O3" s="38" t="s">
        <v>36</v>
      </c>
      <c r="P3" s="39"/>
      <c r="Q3" s="39"/>
      <c r="R3" s="39"/>
      <c r="S3" s="39"/>
      <c r="T3" s="39"/>
      <c r="U3" s="39"/>
      <c r="V3" s="39"/>
      <c r="W3" s="39"/>
      <c r="X3" s="38" t="s">
        <v>38</v>
      </c>
      <c r="Y3" s="39"/>
      <c r="Z3" s="39"/>
      <c r="AA3" s="39"/>
      <c r="AB3" s="39"/>
      <c r="AC3" s="39"/>
      <c r="AD3" s="39"/>
      <c r="AE3" s="39"/>
      <c r="AF3" s="39"/>
      <c r="AG3" s="39"/>
      <c r="AO3" s="38" t="s">
        <v>37</v>
      </c>
      <c r="AP3" s="39"/>
      <c r="AQ3" s="39"/>
      <c r="AR3" s="39"/>
      <c r="AS3" s="39"/>
      <c r="AT3" s="39"/>
      <c r="AU3" s="39"/>
      <c r="AV3" s="39"/>
    </row>
    <row r="4" spans="1:48" ht="20.100000000000001" customHeight="1" x14ac:dyDescent="0.2">
      <c r="O4" s="40" t="s">
        <v>9</v>
      </c>
      <c r="P4" s="41"/>
      <c r="X4" s="40" t="s">
        <v>9</v>
      </c>
      <c r="Y4" s="41"/>
      <c r="AO4" s="40" t="s">
        <v>9</v>
      </c>
      <c r="AP4" s="41"/>
      <c r="AT4" s="33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64</v>
      </c>
      <c r="M5" s="18"/>
      <c r="P5" s="42" t="s">
        <v>10</v>
      </c>
      <c r="Q5" s="42" t="s">
        <v>2</v>
      </c>
      <c r="R5" s="42" t="s">
        <v>3</v>
      </c>
      <c r="S5" s="42" t="s">
        <v>11</v>
      </c>
      <c r="T5" s="43" t="s">
        <v>12</v>
      </c>
      <c r="U5" s="42" t="s">
        <v>13</v>
      </c>
      <c r="V5" s="42" t="s">
        <v>14</v>
      </c>
      <c r="W5" s="42" t="s">
        <v>15</v>
      </c>
      <c r="Y5" s="42" t="s">
        <v>16</v>
      </c>
      <c r="Z5" s="42" t="s">
        <v>17</v>
      </c>
      <c r="AA5" s="42" t="s">
        <v>18</v>
      </c>
      <c r="AB5" s="42" t="s">
        <v>19</v>
      </c>
      <c r="AC5" s="43" t="s">
        <v>20</v>
      </c>
      <c r="AD5" s="42" t="s">
        <v>21</v>
      </c>
      <c r="AE5" s="42"/>
      <c r="AF5" s="42" t="s">
        <v>15</v>
      </c>
      <c r="AG5" s="42" t="s">
        <v>22</v>
      </c>
      <c r="AP5" s="42" t="s">
        <v>10</v>
      </c>
      <c r="AQ5" s="42" t="s">
        <v>2</v>
      </c>
      <c r="AR5" s="42" t="s">
        <v>3</v>
      </c>
      <c r="AS5" s="42" t="s">
        <v>11</v>
      </c>
      <c r="AT5" s="42" t="s">
        <v>12</v>
      </c>
      <c r="AU5" s="42" t="s">
        <v>13</v>
      </c>
      <c r="AV5" s="42" t="s">
        <v>15</v>
      </c>
    </row>
    <row r="6" spans="1:48" ht="8.25" customHeight="1" x14ac:dyDescent="0.2"/>
    <row r="7" spans="1:48" ht="13.5" customHeight="1" x14ac:dyDescent="0.2">
      <c r="A7" s="19" t="s">
        <v>7</v>
      </c>
    </row>
    <row r="8" spans="1:48" ht="13.5" customHeight="1" x14ac:dyDescent="0.2">
      <c r="A8" s="20" t="s">
        <v>71</v>
      </c>
      <c r="B8" s="20"/>
      <c r="C8" s="20"/>
      <c r="D8" s="20"/>
      <c r="E8" s="21">
        <v>231377</v>
      </c>
      <c r="F8" s="22">
        <v>1</v>
      </c>
      <c r="G8" s="22">
        <v>1</v>
      </c>
      <c r="H8" s="23" t="s">
        <v>72</v>
      </c>
      <c r="I8" s="20" t="s">
        <v>73</v>
      </c>
      <c r="J8" s="20"/>
    </row>
    <row r="9" spans="1:48" ht="13.5" customHeight="1" x14ac:dyDescent="0.2">
      <c r="A9" s="20" t="s">
        <v>71</v>
      </c>
      <c r="B9" s="20"/>
      <c r="C9" s="20"/>
      <c r="D9" s="20"/>
      <c r="E9" s="21">
        <v>231377</v>
      </c>
      <c r="F9" s="22">
        <v>2</v>
      </c>
      <c r="G9" s="22">
        <v>1</v>
      </c>
      <c r="H9" s="23" t="s">
        <v>74</v>
      </c>
      <c r="I9" s="20" t="s">
        <v>73</v>
      </c>
      <c r="J9" s="20"/>
    </row>
    <row r="10" spans="1:48" ht="13.5" customHeight="1" x14ac:dyDescent="0.2">
      <c r="A10" s="20" t="s">
        <v>75</v>
      </c>
      <c r="B10" s="20"/>
      <c r="C10" s="20"/>
      <c r="D10" s="20"/>
      <c r="E10" s="21">
        <v>231378</v>
      </c>
      <c r="F10" s="22">
        <v>1</v>
      </c>
      <c r="G10" s="22">
        <v>2</v>
      </c>
      <c r="H10" s="23" t="s">
        <v>72</v>
      </c>
      <c r="I10" s="20" t="s">
        <v>73</v>
      </c>
      <c r="J10" s="20"/>
    </row>
    <row r="11" spans="1:48" ht="13.5" customHeight="1" x14ac:dyDescent="0.2">
      <c r="A11" s="20" t="s">
        <v>75</v>
      </c>
      <c r="B11" s="20"/>
      <c r="C11" s="20"/>
      <c r="D11" s="20"/>
      <c r="E11" s="21">
        <v>231378</v>
      </c>
      <c r="F11" s="22">
        <v>2</v>
      </c>
      <c r="G11" s="22">
        <v>1</v>
      </c>
      <c r="H11" s="23" t="s">
        <v>74</v>
      </c>
      <c r="I11" s="20" t="s">
        <v>73</v>
      </c>
      <c r="J11" s="20"/>
    </row>
    <row r="12" spans="1:48" ht="13.5" customHeight="1" x14ac:dyDescent="0.2">
      <c r="A12" s="20" t="s">
        <v>76</v>
      </c>
      <c r="B12" s="20"/>
      <c r="C12" s="20"/>
      <c r="D12" s="20"/>
      <c r="E12" s="21">
        <v>231380</v>
      </c>
      <c r="F12" s="22">
        <v>1</v>
      </c>
      <c r="G12" s="22">
        <v>1</v>
      </c>
      <c r="H12" s="23" t="s">
        <v>51</v>
      </c>
      <c r="I12" s="20" t="s">
        <v>52</v>
      </c>
      <c r="J12" s="20"/>
    </row>
    <row r="13" spans="1:48" ht="13.5" customHeight="1" x14ac:dyDescent="0.2">
      <c r="A13" s="20" t="s">
        <v>76</v>
      </c>
      <c r="B13" s="20"/>
      <c r="C13" s="20"/>
      <c r="D13" s="20"/>
      <c r="E13" s="21">
        <v>231380</v>
      </c>
      <c r="F13" s="22">
        <v>2</v>
      </c>
      <c r="G13" s="22">
        <v>1</v>
      </c>
      <c r="H13" s="23" t="s">
        <v>77</v>
      </c>
      <c r="I13" s="20" t="s">
        <v>52</v>
      </c>
      <c r="J13" s="20"/>
    </row>
    <row r="14" spans="1:48" ht="13.5" customHeight="1" x14ac:dyDescent="0.2">
      <c r="A14" s="20" t="s">
        <v>76</v>
      </c>
      <c r="B14" s="20"/>
      <c r="C14" s="20"/>
      <c r="D14" s="20"/>
      <c r="E14" s="21">
        <v>231380</v>
      </c>
      <c r="F14" s="22">
        <v>3</v>
      </c>
      <c r="G14" s="22">
        <v>1</v>
      </c>
      <c r="H14" s="23" t="s">
        <v>78</v>
      </c>
      <c r="I14" s="20" t="s">
        <v>52</v>
      </c>
      <c r="J14" s="20"/>
    </row>
    <row r="15" spans="1:48" ht="13.5" customHeight="1" x14ac:dyDescent="0.2">
      <c r="A15" s="20" t="s">
        <v>76</v>
      </c>
      <c r="B15" s="20"/>
      <c r="C15" s="20"/>
      <c r="D15" s="20"/>
      <c r="E15" s="21">
        <v>231380</v>
      </c>
      <c r="F15" s="22">
        <v>4</v>
      </c>
      <c r="G15" s="22">
        <v>1</v>
      </c>
      <c r="H15" s="23" t="s">
        <v>79</v>
      </c>
      <c r="I15" s="20" t="s">
        <v>52</v>
      </c>
      <c r="J15" s="20"/>
    </row>
    <row r="16" spans="1:48" ht="13.5" customHeight="1" x14ac:dyDescent="0.2">
      <c r="A16" s="20" t="s">
        <v>76</v>
      </c>
      <c r="B16" s="20"/>
      <c r="C16" s="20"/>
      <c r="D16" s="20"/>
      <c r="E16" s="21">
        <v>231380</v>
      </c>
      <c r="F16" s="22">
        <v>5</v>
      </c>
      <c r="G16" s="22">
        <v>1</v>
      </c>
      <c r="H16" s="23" t="s">
        <v>50</v>
      </c>
      <c r="I16" s="20" t="s">
        <v>52</v>
      </c>
      <c r="J16" s="20"/>
    </row>
    <row r="17" spans="1:10" ht="13.5" customHeight="1" x14ac:dyDescent="0.2">
      <c r="A17" s="20" t="s">
        <v>80</v>
      </c>
      <c r="B17" s="20"/>
      <c r="C17" s="20"/>
      <c r="D17" s="20"/>
      <c r="E17" s="21">
        <v>231381</v>
      </c>
      <c r="F17" s="22">
        <v>1</v>
      </c>
      <c r="G17" s="22">
        <v>1</v>
      </c>
      <c r="H17" s="23" t="s">
        <v>48</v>
      </c>
      <c r="I17" s="20" t="s">
        <v>81</v>
      </c>
      <c r="J17" s="20"/>
    </row>
    <row r="18" spans="1:10" ht="13.5" customHeight="1" x14ac:dyDescent="0.2">
      <c r="A18" s="20" t="s">
        <v>80</v>
      </c>
      <c r="B18" s="20"/>
      <c r="C18" s="20"/>
      <c r="D18" s="20"/>
      <c r="E18" s="21">
        <v>231381</v>
      </c>
      <c r="F18" s="22">
        <v>2</v>
      </c>
      <c r="G18" s="22">
        <v>1</v>
      </c>
      <c r="H18" s="23" t="s">
        <v>82</v>
      </c>
      <c r="I18" s="20" t="s">
        <v>81</v>
      </c>
      <c r="J18" s="20"/>
    </row>
    <row r="19" spans="1:10" ht="13.5" customHeight="1" x14ac:dyDescent="0.2">
      <c r="A19" s="20" t="s">
        <v>80</v>
      </c>
      <c r="B19" s="20"/>
      <c r="C19" s="20"/>
      <c r="D19" s="20"/>
      <c r="E19" s="21">
        <v>231381</v>
      </c>
      <c r="F19" s="22">
        <v>3</v>
      </c>
      <c r="G19" s="22">
        <v>1</v>
      </c>
      <c r="H19" s="23" t="s">
        <v>83</v>
      </c>
      <c r="I19" s="20" t="s">
        <v>81</v>
      </c>
      <c r="J19" s="20"/>
    </row>
    <row r="20" spans="1:10" ht="13.5" customHeight="1" x14ac:dyDescent="0.2">
      <c r="A20" s="20" t="s">
        <v>80</v>
      </c>
      <c r="B20" s="20"/>
      <c r="C20" s="20"/>
      <c r="D20" s="20"/>
      <c r="E20" s="21">
        <v>231381</v>
      </c>
      <c r="F20" s="22">
        <v>4</v>
      </c>
      <c r="G20" s="22">
        <v>2</v>
      </c>
      <c r="H20" s="23" t="s">
        <v>84</v>
      </c>
      <c r="I20" s="20" t="s">
        <v>81</v>
      </c>
      <c r="J20" s="20"/>
    </row>
    <row r="21" spans="1:10" ht="13.5" customHeight="1" x14ac:dyDescent="0.2">
      <c r="A21" s="20" t="s">
        <v>85</v>
      </c>
      <c r="B21" s="20"/>
      <c r="C21" s="20"/>
      <c r="D21" s="20"/>
      <c r="E21" s="21">
        <v>231382</v>
      </c>
      <c r="F21" s="22">
        <v>1</v>
      </c>
      <c r="G21" s="22">
        <v>1</v>
      </c>
      <c r="H21" s="23" t="s">
        <v>86</v>
      </c>
      <c r="I21" s="20" t="s">
        <v>87</v>
      </c>
      <c r="J21" s="20"/>
    </row>
    <row r="22" spans="1:10" ht="13.5" customHeight="1" x14ac:dyDescent="0.2">
      <c r="A22" s="20" t="s">
        <v>85</v>
      </c>
      <c r="B22" s="20"/>
      <c r="C22" s="20"/>
      <c r="D22" s="20"/>
      <c r="E22" s="21">
        <v>231382</v>
      </c>
      <c r="F22" s="22">
        <v>2</v>
      </c>
      <c r="G22" s="22">
        <v>1</v>
      </c>
      <c r="H22" s="23" t="s">
        <v>88</v>
      </c>
      <c r="I22" s="20" t="s">
        <v>87</v>
      </c>
      <c r="J22" s="20"/>
    </row>
    <row r="23" spans="1:10" ht="13.5" customHeight="1" x14ac:dyDescent="0.2">
      <c r="A23" s="20" t="s">
        <v>85</v>
      </c>
      <c r="B23" s="20"/>
      <c r="C23" s="20"/>
      <c r="D23" s="20"/>
      <c r="E23" s="21">
        <v>231382</v>
      </c>
      <c r="F23" s="22">
        <v>3</v>
      </c>
      <c r="G23" s="22">
        <v>1</v>
      </c>
      <c r="H23" s="23" t="s">
        <v>89</v>
      </c>
      <c r="I23" s="20" t="s">
        <v>87</v>
      </c>
      <c r="J23" s="20"/>
    </row>
    <row r="24" spans="1:10" ht="13.5" customHeight="1" x14ac:dyDescent="0.2">
      <c r="A24" s="20" t="s">
        <v>71</v>
      </c>
      <c r="B24" s="20"/>
      <c r="C24" s="20"/>
      <c r="D24" s="20"/>
      <c r="E24" s="21">
        <v>231397</v>
      </c>
      <c r="F24" s="22">
        <v>1</v>
      </c>
      <c r="G24" s="22">
        <v>1</v>
      </c>
      <c r="H24" s="23" t="s">
        <v>72</v>
      </c>
      <c r="I24" s="20" t="s">
        <v>73</v>
      </c>
      <c r="J24" s="20"/>
    </row>
    <row r="25" spans="1:10" ht="13.5" customHeight="1" x14ac:dyDescent="0.2">
      <c r="A25" s="20" t="s">
        <v>71</v>
      </c>
      <c r="B25" s="20"/>
      <c r="C25" s="20"/>
      <c r="D25" s="20"/>
      <c r="E25" s="21">
        <v>231397</v>
      </c>
      <c r="F25" s="22">
        <v>2</v>
      </c>
      <c r="G25" s="22">
        <v>1</v>
      </c>
      <c r="H25" s="23" t="s">
        <v>74</v>
      </c>
      <c r="I25" s="20" t="s">
        <v>73</v>
      </c>
      <c r="J25" s="20"/>
    </row>
    <row r="26" spans="1:10" ht="13.5" customHeight="1" x14ac:dyDescent="0.2">
      <c r="A26" s="20" t="s">
        <v>75</v>
      </c>
      <c r="B26" s="20"/>
      <c r="C26" s="20"/>
      <c r="D26" s="20"/>
      <c r="E26" s="21">
        <v>231398</v>
      </c>
      <c r="F26" s="22">
        <v>1</v>
      </c>
      <c r="G26" s="22">
        <v>2</v>
      </c>
      <c r="H26" s="23" t="s">
        <v>72</v>
      </c>
      <c r="I26" s="20" t="s">
        <v>73</v>
      </c>
      <c r="J26" s="20"/>
    </row>
    <row r="27" spans="1:10" ht="13.5" customHeight="1" x14ac:dyDescent="0.2">
      <c r="A27" s="20" t="s">
        <v>75</v>
      </c>
      <c r="B27" s="20"/>
      <c r="C27" s="20"/>
      <c r="D27" s="20"/>
      <c r="E27" s="21">
        <v>231398</v>
      </c>
      <c r="F27" s="22">
        <v>2</v>
      </c>
      <c r="G27" s="22">
        <v>1</v>
      </c>
      <c r="H27" s="23" t="s">
        <v>74</v>
      </c>
      <c r="I27" s="20" t="s">
        <v>73</v>
      </c>
      <c r="J27" s="20"/>
    </row>
    <row r="28" spans="1:10" ht="13.5" customHeight="1" x14ac:dyDescent="0.2">
      <c r="A28" s="20" t="s">
        <v>76</v>
      </c>
      <c r="B28" s="20"/>
      <c r="C28" s="20"/>
      <c r="D28" s="20"/>
      <c r="E28" s="21">
        <v>231399</v>
      </c>
      <c r="F28" s="22">
        <v>1</v>
      </c>
      <c r="G28" s="22">
        <v>1</v>
      </c>
      <c r="H28" s="23" t="s">
        <v>51</v>
      </c>
      <c r="I28" s="20" t="s">
        <v>52</v>
      </c>
      <c r="J28" s="20"/>
    </row>
    <row r="29" spans="1:10" ht="13.5" customHeight="1" x14ac:dyDescent="0.2">
      <c r="A29" s="20" t="s">
        <v>76</v>
      </c>
      <c r="B29" s="20"/>
      <c r="C29" s="20"/>
      <c r="D29" s="20"/>
      <c r="E29" s="21">
        <v>231399</v>
      </c>
      <c r="F29" s="22">
        <v>2</v>
      </c>
      <c r="G29" s="22">
        <v>1</v>
      </c>
      <c r="H29" s="23" t="s">
        <v>77</v>
      </c>
      <c r="I29" s="20" t="s">
        <v>52</v>
      </c>
      <c r="J29" s="20"/>
    </row>
    <row r="30" spans="1:10" ht="13.5" customHeight="1" x14ac:dyDescent="0.2">
      <c r="A30" s="20" t="s">
        <v>76</v>
      </c>
      <c r="B30" s="20"/>
      <c r="C30" s="20"/>
      <c r="D30" s="20"/>
      <c r="E30" s="21">
        <v>231399</v>
      </c>
      <c r="F30" s="22">
        <v>3</v>
      </c>
      <c r="G30" s="22">
        <v>1</v>
      </c>
      <c r="H30" s="23" t="s">
        <v>78</v>
      </c>
      <c r="I30" s="20" t="s">
        <v>52</v>
      </c>
      <c r="J30" s="20"/>
    </row>
    <row r="31" spans="1:10" ht="13.5" customHeight="1" x14ac:dyDescent="0.2">
      <c r="A31" s="20" t="s">
        <v>76</v>
      </c>
      <c r="B31" s="20"/>
      <c r="C31" s="20"/>
      <c r="D31" s="20"/>
      <c r="E31" s="21">
        <v>231399</v>
      </c>
      <c r="F31" s="22">
        <v>4</v>
      </c>
      <c r="G31" s="22">
        <v>1</v>
      </c>
      <c r="H31" s="23" t="s">
        <v>79</v>
      </c>
      <c r="I31" s="20" t="s">
        <v>52</v>
      </c>
      <c r="J31" s="20"/>
    </row>
    <row r="32" spans="1:10" ht="13.5" customHeight="1" x14ac:dyDescent="0.2">
      <c r="A32" s="20" t="s">
        <v>76</v>
      </c>
      <c r="B32" s="20"/>
      <c r="C32" s="20"/>
      <c r="D32" s="20"/>
      <c r="E32" s="21">
        <v>231399</v>
      </c>
      <c r="F32" s="22">
        <v>5</v>
      </c>
      <c r="G32" s="22">
        <v>1</v>
      </c>
      <c r="H32" s="23" t="s">
        <v>50</v>
      </c>
      <c r="I32" s="20" t="s">
        <v>52</v>
      </c>
      <c r="J32" s="20"/>
    </row>
    <row r="33" spans="1:10" ht="13.5" customHeight="1" x14ac:dyDescent="0.2">
      <c r="A33" s="20" t="s">
        <v>80</v>
      </c>
      <c r="B33" s="20"/>
      <c r="C33" s="20"/>
      <c r="D33" s="20"/>
      <c r="E33" s="21">
        <v>231400</v>
      </c>
      <c r="F33" s="22">
        <v>1</v>
      </c>
      <c r="G33" s="22">
        <v>1</v>
      </c>
      <c r="H33" s="23" t="s">
        <v>48</v>
      </c>
      <c r="I33" s="20" t="s">
        <v>81</v>
      </c>
      <c r="J33" s="20"/>
    </row>
    <row r="34" spans="1:10" ht="13.5" customHeight="1" x14ac:dyDescent="0.2">
      <c r="A34" s="20" t="s">
        <v>80</v>
      </c>
      <c r="B34" s="20"/>
      <c r="C34" s="20"/>
      <c r="D34" s="20"/>
      <c r="E34" s="21">
        <v>231400</v>
      </c>
      <c r="F34" s="22">
        <v>2</v>
      </c>
      <c r="G34" s="22">
        <v>1</v>
      </c>
      <c r="H34" s="23" t="s">
        <v>82</v>
      </c>
      <c r="I34" s="20" t="s">
        <v>81</v>
      </c>
      <c r="J34" s="20"/>
    </row>
    <row r="35" spans="1:10" ht="13.5" customHeight="1" x14ac:dyDescent="0.2">
      <c r="A35" s="20" t="s">
        <v>80</v>
      </c>
      <c r="B35" s="20"/>
      <c r="C35" s="20"/>
      <c r="D35" s="20"/>
      <c r="E35" s="21">
        <v>231400</v>
      </c>
      <c r="F35" s="22">
        <v>3</v>
      </c>
      <c r="G35" s="22">
        <v>1</v>
      </c>
      <c r="H35" s="23" t="s">
        <v>83</v>
      </c>
      <c r="I35" s="20" t="s">
        <v>81</v>
      </c>
      <c r="J35" s="20"/>
    </row>
    <row r="36" spans="1:10" ht="13.5" customHeight="1" x14ac:dyDescent="0.2">
      <c r="A36" s="20" t="s">
        <v>80</v>
      </c>
      <c r="B36" s="20"/>
      <c r="C36" s="20"/>
      <c r="D36" s="20"/>
      <c r="E36" s="21">
        <v>231400</v>
      </c>
      <c r="F36" s="22">
        <v>4</v>
      </c>
      <c r="G36" s="22">
        <v>2</v>
      </c>
      <c r="H36" s="23" t="s">
        <v>84</v>
      </c>
      <c r="I36" s="20" t="s">
        <v>81</v>
      </c>
      <c r="J36" s="20"/>
    </row>
    <row r="37" spans="1:10" ht="13.5" customHeight="1" x14ac:dyDescent="0.2">
      <c r="A37" s="20" t="s">
        <v>85</v>
      </c>
      <c r="B37" s="20"/>
      <c r="C37" s="20"/>
      <c r="D37" s="20"/>
      <c r="E37" s="21">
        <v>231401</v>
      </c>
      <c r="F37" s="22">
        <v>1</v>
      </c>
      <c r="G37" s="22">
        <v>1</v>
      </c>
      <c r="H37" s="23" t="s">
        <v>86</v>
      </c>
      <c r="I37" s="20" t="s">
        <v>87</v>
      </c>
      <c r="J37" s="20"/>
    </row>
    <row r="38" spans="1:10" ht="13.5" customHeight="1" x14ac:dyDescent="0.2">
      <c r="A38" s="20" t="s">
        <v>85</v>
      </c>
      <c r="B38" s="20"/>
      <c r="C38" s="20"/>
      <c r="D38" s="20"/>
      <c r="E38" s="21">
        <v>231401</v>
      </c>
      <c r="F38" s="22">
        <v>2</v>
      </c>
      <c r="G38" s="22">
        <v>1</v>
      </c>
      <c r="H38" s="23" t="s">
        <v>88</v>
      </c>
      <c r="I38" s="20" t="s">
        <v>87</v>
      </c>
      <c r="J38" s="20"/>
    </row>
    <row r="39" spans="1:10" ht="13.5" customHeight="1" x14ac:dyDescent="0.2">
      <c r="A39" s="20" t="s">
        <v>85</v>
      </c>
      <c r="B39" s="20"/>
      <c r="C39" s="20"/>
      <c r="D39" s="20"/>
      <c r="E39" s="21">
        <v>231401</v>
      </c>
      <c r="F39" s="22">
        <v>3</v>
      </c>
      <c r="G39" s="22">
        <v>1</v>
      </c>
      <c r="H39" s="23" t="s">
        <v>89</v>
      </c>
      <c r="I39" s="20" t="s">
        <v>87</v>
      </c>
      <c r="J39" s="20"/>
    </row>
    <row r="40" spans="1:10" ht="13.5" customHeight="1" x14ac:dyDescent="0.2">
      <c r="A40" s="20" t="s">
        <v>90</v>
      </c>
      <c r="B40" s="20"/>
      <c r="C40" s="20"/>
      <c r="D40" s="20"/>
      <c r="E40" s="21">
        <v>231491</v>
      </c>
      <c r="F40" s="22">
        <v>1</v>
      </c>
      <c r="G40" s="22">
        <v>1</v>
      </c>
      <c r="H40" s="23" t="s">
        <v>91</v>
      </c>
      <c r="I40" s="20" t="s">
        <v>65</v>
      </c>
      <c r="J40" s="20"/>
    </row>
    <row r="41" spans="1:10" ht="13.5" customHeight="1" x14ac:dyDescent="0.2">
      <c r="A41" s="20" t="s">
        <v>90</v>
      </c>
      <c r="B41" s="20"/>
      <c r="C41" s="20"/>
      <c r="D41" s="20"/>
      <c r="E41" s="21">
        <v>231491</v>
      </c>
      <c r="F41" s="22">
        <v>2</v>
      </c>
      <c r="G41" s="22">
        <v>1</v>
      </c>
      <c r="H41" s="23" t="s">
        <v>92</v>
      </c>
      <c r="I41" s="20" t="s">
        <v>65</v>
      </c>
      <c r="J41" s="20"/>
    </row>
    <row r="42" spans="1:10" ht="13.5" customHeight="1" x14ac:dyDescent="0.2">
      <c r="A42" s="20" t="s">
        <v>93</v>
      </c>
      <c r="B42" s="20"/>
      <c r="C42" s="20"/>
      <c r="D42" s="20"/>
      <c r="E42" s="21">
        <v>231492</v>
      </c>
      <c r="F42" s="22">
        <v>1</v>
      </c>
      <c r="G42" s="22">
        <v>1</v>
      </c>
      <c r="H42" s="23" t="s">
        <v>94</v>
      </c>
      <c r="I42" s="20" t="s">
        <v>65</v>
      </c>
      <c r="J42" s="20"/>
    </row>
    <row r="43" spans="1:10" ht="13.5" customHeight="1" x14ac:dyDescent="0.2">
      <c r="A43" s="20" t="s">
        <v>93</v>
      </c>
      <c r="B43" s="20"/>
      <c r="C43" s="20"/>
      <c r="D43" s="20"/>
      <c r="E43" s="21">
        <v>231492</v>
      </c>
      <c r="F43" s="22">
        <v>2</v>
      </c>
      <c r="G43" s="22">
        <v>1</v>
      </c>
      <c r="H43" s="23" t="s">
        <v>95</v>
      </c>
      <c r="I43" s="20" t="s">
        <v>65</v>
      </c>
      <c r="J43" s="20"/>
    </row>
    <row r="44" spans="1:10" ht="13.5" customHeight="1" x14ac:dyDescent="0.2">
      <c r="A44" s="20" t="s">
        <v>96</v>
      </c>
      <c r="B44" s="20"/>
      <c r="C44" s="20"/>
      <c r="D44" s="20"/>
      <c r="E44" s="21">
        <v>231493</v>
      </c>
      <c r="F44" s="22">
        <v>1</v>
      </c>
      <c r="G44" s="22">
        <v>1</v>
      </c>
      <c r="H44" s="23" t="s">
        <v>97</v>
      </c>
      <c r="I44" s="20" t="s">
        <v>65</v>
      </c>
      <c r="J44" s="20"/>
    </row>
    <row r="45" spans="1:10" ht="13.5" customHeight="1" x14ac:dyDescent="0.2">
      <c r="A45" s="20" t="s">
        <v>96</v>
      </c>
      <c r="B45" s="20"/>
      <c r="C45" s="20"/>
      <c r="D45" s="20"/>
      <c r="E45" s="21">
        <v>231493</v>
      </c>
      <c r="F45" s="22">
        <v>2</v>
      </c>
      <c r="G45" s="22">
        <v>1</v>
      </c>
      <c r="H45" s="23" t="s">
        <v>98</v>
      </c>
      <c r="I45" s="20" t="s">
        <v>65</v>
      </c>
      <c r="J45" s="20"/>
    </row>
    <row r="46" spans="1:10" ht="13.5" customHeight="1" x14ac:dyDescent="0.2">
      <c r="A46" s="20" t="s">
        <v>96</v>
      </c>
      <c r="B46" s="20"/>
      <c r="C46" s="20"/>
      <c r="D46" s="20"/>
      <c r="E46" s="21">
        <v>231493</v>
      </c>
      <c r="F46" s="22">
        <v>3</v>
      </c>
      <c r="G46" s="22">
        <v>1</v>
      </c>
      <c r="H46" s="23" t="s">
        <v>99</v>
      </c>
      <c r="I46" s="20" t="s">
        <v>65</v>
      </c>
      <c r="J46" s="20"/>
    </row>
    <row r="47" spans="1:10" ht="13.5" customHeight="1" x14ac:dyDescent="0.2">
      <c r="A47" s="20" t="s">
        <v>96</v>
      </c>
      <c r="B47" s="20"/>
      <c r="C47" s="20"/>
      <c r="D47" s="20"/>
      <c r="E47" s="21">
        <v>231493</v>
      </c>
      <c r="F47" s="22">
        <v>4</v>
      </c>
      <c r="G47" s="22">
        <v>1</v>
      </c>
      <c r="H47" s="23" t="s">
        <v>100</v>
      </c>
      <c r="I47" s="20" t="s">
        <v>65</v>
      </c>
      <c r="J47" s="20"/>
    </row>
    <row r="48" spans="1:10" ht="13.5" customHeight="1" x14ac:dyDescent="0.2">
      <c r="A48" s="20" t="s">
        <v>96</v>
      </c>
      <c r="B48" s="20"/>
      <c r="C48" s="20"/>
      <c r="D48" s="20"/>
      <c r="E48" s="21">
        <v>231493</v>
      </c>
      <c r="F48" s="22">
        <v>5</v>
      </c>
      <c r="G48" s="22">
        <v>1</v>
      </c>
      <c r="H48" s="23" t="s">
        <v>101</v>
      </c>
      <c r="I48" s="20" t="s">
        <v>65</v>
      </c>
      <c r="J48" s="20"/>
    </row>
    <row r="49" spans="1:10" ht="13.5" customHeight="1" x14ac:dyDescent="0.2">
      <c r="A49" s="20" t="s">
        <v>96</v>
      </c>
      <c r="B49" s="20"/>
      <c r="C49" s="20"/>
      <c r="D49" s="20"/>
      <c r="E49" s="21">
        <v>231493</v>
      </c>
      <c r="F49" s="22">
        <v>6</v>
      </c>
      <c r="G49" s="22">
        <v>1</v>
      </c>
      <c r="H49" s="23" t="s">
        <v>102</v>
      </c>
      <c r="I49" s="20" t="s">
        <v>65</v>
      </c>
      <c r="J49" s="20"/>
    </row>
    <row r="50" spans="1:10" ht="13.5" customHeight="1" x14ac:dyDescent="0.2">
      <c r="A50" s="20" t="s">
        <v>103</v>
      </c>
      <c r="B50" s="20"/>
      <c r="C50" s="20"/>
      <c r="D50" s="20"/>
      <c r="E50" s="21">
        <v>231494</v>
      </c>
      <c r="F50" s="22">
        <v>1</v>
      </c>
      <c r="G50" s="22">
        <v>1</v>
      </c>
      <c r="H50" s="23" t="s">
        <v>104</v>
      </c>
      <c r="I50" s="20" t="s">
        <v>65</v>
      </c>
      <c r="J50" s="20"/>
    </row>
    <row r="51" spans="1:10" ht="13.5" customHeight="1" x14ac:dyDescent="0.2">
      <c r="A51" s="20" t="s">
        <v>103</v>
      </c>
      <c r="B51" s="20"/>
      <c r="C51" s="20"/>
      <c r="D51" s="20"/>
      <c r="E51" s="21">
        <v>231494</v>
      </c>
      <c r="F51" s="22">
        <v>2</v>
      </c>
      <c r="G51" s="22">
        <v>1</v>
      </c>
      <c r="H51" s="23" t="s">
        <v>105</v>
      </c>
      <c r="I51" s="20" t="s">
        <v>65</v>
      </c>
      <c r="J51" s="20"/>
    </row>
    <row r="52" spans="1:10" ht="13.5" customHeight="1" x14ac:dyDescent="0.2">
      <c r="A52" s="20" t="s">
        <v>103</v>
      </c>
      <c r="B52" s="20"/>
      <c r="C52" s="20"/>
      <c r="D52" s="20"/>
      <c r="E52" s="21">
        <v>231494</v>
      </c>
      <c r="F52" s="22">
        <v>3</v>
      </c>
      <c r="G52" s="22">
        <v>1</v>
      </c>
      <c r="H52" s="23" t="s">
        <v>106</v>
      </c>
      <c r="I52" s="20" t="s">
        <v>65</v>
      </c>
      <c r="J52" s="20"/>
    </row>
    <row r="53" spans="1:10" ht="13.5" customHeight="1" x14ac:dyDescent="0.2">
      <c r="A53" s="20" t="s">
        <v>103</v>
      </c>
      <c r="B53" s="20"/>
      <c r="C53" s="20"/>
      <c r="D53" s="20"/>
      <c r="E53" s="21">
        <v>231494</v>
      </c>
      <c r="F53" s="22">
        <v>4</v>
      </c>
      <c r="G53" s="22">
        <v>1</v>
      </c>
      <c r="H53" s="23" t="s">
        <v>107</v>
      </c>
      <c r="I53" s="20" t="s">
        <v>65</v>
      </c>
      <c r="J53" s="20"/>
    </row>
    <row r="54" spans="1:10" ht="13.5" customHeight="1" x14ac:dyDescent="0.2">
      <c r="A54" s="20" t="s">
        <v>103</v>
      </c>
      <c r="B54" s="20"/>
      <c r="C54" s="20"/>
      <c r="D54" s="20"/>
      <c r="E54" s="21">
        <v>231494</v>
      </c>
      <c r="F54" s="22">
        <v>5</v>
      </c>
      <c r="G54" s="22">
        <v>1</v>
      </c>
      <c r="H54" s="23" t="s">
        <v>107</v>
      </c>
      <c r="I54" s="20" t="s">
        <v>65</v>
      </c>
      <c r="J54" s="20"/>
    </row>
    <row r="55" spans="1:10" ht="13.5" customHeight="1" x14ac:dyDescent="0.2">
      <c r="A55" s="20" t="s">
        <v>108</v>
      </c>
      <c r="B55" s="20"/>
      <c r="C55" s="20"/>
      <c r="D55" s="20"/>
      <c r="E55" s="21">
        <v>231495</v>
      </c>
      <c r="F55" s="22">
        <v>1</v>
      </c>
      <c r="G55" s="22">
        <v>1</v>
      </c>
      <c r="H55" s="23" t="s">
        <v>94</v>
      </c>
      <c r="I55" s="20" t="s">
        <v>65</v>
      </c>
      <c r="J55" s="20"/>
    </row>
    <row r="56" spans="1:10" ht="13.5" customHeight="1" x14ac:dyDescent="0.2">
      <c r="A56" s="20" t="s">
        <v>108</v>
      </c>
      <c r="B56" s="20"/>
      <c r="C56" s="20"/>
      <c r="D56" s="20"/>
      <c r="E56" s="21">
        <v>231495</v>
      </c>
      <c r="F56" s="22">
        <v>2</v>
      </c>
      <c r="G56" s="22">
        <v>1</v>
      </c>
      <c r="H56" s="23" t="s">
        <v>109</v>
      </c>
      <c r="I56" s="20" t="s">
        <v>65</v>
      </c>
      <c r="J56" s="20"/>
    </row>
    <row r="57" spans="1:10" ht="13.5" customHeight="1" x14ac:dyDescent="0.2">
      <c r="A57" s="20" t="s">
        <v>110</v>
      </c>
      <c r="B57" s="20"/>
      <c r="C57" s="20"/>
      <c r="D57" s="20"/>
      <c r="E57" s="21">
        <v>231496</v>
      </c>
      <c r="F57" s="22">
        <v>1</v>
      </c>
      <c r="G57" s="22">
        <v>1</v>
      </c>
      <c r="H57" s="23" t="s">
        <v>23</v>
      </c>
      <c r="I57" s="20" t="s">
        <v>24</v>
      </c>
      <c r="J57" s="20"/>
    </row>
    <row r="58" spans="1:10" ht="13.5" customHeight="1" x14ac:dyDescent="0.2">
      <c r="A58" s="20" t="s">
        <v>110</v>
      </c>
      <c r="B58" s="20"/>
      <c r="C58" s="20"/>
      <c r="D58" s="20"/>
      <c r="E58" s="21">
        <v>231496</v>
      </c>
      <c r="F58" s="22">
        <v>2</v>
      </c>
      <c r="G58" s="22">
        <v>2</v>
      </c>
      <c r="H58" s="23" t="s">
        <v>25</v>
      </c>
      <c r="I58" s="20" t="s">
        <v>24</v>
      </c>
      <c r="J58" s="20"/>
    </row>
    <row r="59" spans="1:10" ht="13.5" customHeight="1" x14ac:dyDescent="0.2">
      <c r="A59" s="20" t="s">
        <v>111</v>
      </c>
      <c r="B59" s="20"/>
      <c r="C59" s="20"/>
      <c r="D59" s="20"/>
      <c r="E59" s="21">
        <v>231497</v>
      </c>
      <c r="F59" s="22">
        <v>1</v>
      </c>
      <c r="G59" s="22">
        <v>5</v>
      </c>
      <c r="H59" s="23" t="s">
        <v>25</v>
      </c>
      <c r="I59" s="20" t="s">
        <v>24</v>
      </c>
      <c r="J59" s="20"/>
    </row>
    <row r="60" spans="1:10" ht="13.5" customHeight="1" x14ac:dyDescent="0.2">
      <c r="A60" s="20" t="s">
        <v>112</v>
      </c>
      <c r="B60" s="20"/>
      <c r="C60" s="20"/>
      <c r="D60" s="20"/>
      <c r="E60" s="21">
        <v>231498</v>
      </c>
      <c r="F60" s="22">
        <v>1</v>
      </c>
      <c r="G60" s="22">
        <v>1</v>
      </c>
      <c r="H60" s="23" t="s">
        <v>23</v>
      </c>
      <c r="I60" s="20" t="s">
        <v>24</v>
      </c>
      <c r="J60" s="20"/>
    </row>
    <row r="61" spans="1:10" ht="13.5" customHeight="1" x14ac:dyDescent="0.2">
      <c r="A61" s="20" t="s">
        <v>112</v>
      </c>
      <c r="B61" s="20"/>
      <c r="C61" s="20"/>
      <c r="D61" s="20"/>
      <c r="E61" s="21">
        <v>231498</v>
      </c>
      <c r="F61" s="22">
        <v>2</v>
      </c>
      <c r="G61" s="22">
        <v>2</v>
      </c>
      <c r="H61" s="23" t="s">
        <v>25</v>
      </c>
      <c r="I61" s="20" t="s">
        <v>24</v>
      </c>
      <c r="J61" s="20"/>
    </row>
    <row r="62" spans="1:10" ht="13.5" customHeight="1" x14ac:dyDescent="0.2">
      <c r="A62" s="20" t="s">
        <v>113</v>
      </c>
      <c r="B62" s="20"/>
      <c r="C62" s="20"/>
      <c r="D62" s="20"/>
      <c r="E62" s="21">
        <v>231499</v>
      </c>
      <c r="F62" s="22">
        <v>1</v>
      </c>
      <c r="G62" s="22">
        <v>2</v>
      </c>
      <c r="H62" s="23" t="s">
        <v>25</v>
      </c>
      <c r="I62" s="20" t="s">
        <v>24</v>
      </c>
      <c r="J62" s="20"/>
    </row>
    <row r="63" spans="1:10" ht="13.5" customHeight="1" x14ac:dyDescent="0.2">
      <c r="A63" s="20" t="s">
        <v>113</v>
      </c>
      <c r="B63" s="20"/>
      <c r="C63" s="20"/>
      <c r="D63" s="20"/>
      <c r="E63" s="21">
        <v>231499</v>
      </c>
      <c r="F63" s="22">
        <v>2</v>
      </c>
      <c r="G63" s="22">
        <v>1</v>
      </c>
      <c r="H63" s="23" t="s">
        <v>23</v>
      </c>
      <c r="I63" s="20" t="s">
        <v>24</v>
      </c>
      <c r="J63" s="20"/>
    </row>
    <row r="64" spans="1:10" ht="13.5" customHeight="1" x14ac:dyDescent="0.2">
      <c r="A64" s="20" t="s">
        <v>114</v>
      </c>
      <c r="B64" s="20"/>
      <c r="C64" s="20"/>
      <c r="D64" s="20"/>
      <c r="E64" s="21">
        <v>231500</v>
      </c>
      <c r="F64" s="22">
        <v>1</v>
      </c>
      <c r="G64" s="22">
        <v>4</v>
      </c>
      <c r="H64" s="23" t="s">
        <v>25</v>
      </c>
      <c r="I64" s="20" t="s">
        <v>24</v>
      </c>
      <c r="J64" s="20"/>
    </row>
    <row r="65" spans="1:10" ht="13.5" customHeight="1" x14ac:dyDescent="0.2">
      <c r="A65" s="20" t="s">
        <v>115</v>
      </c>
      <c r="B65" s="20"/>
      <c r="C65" s="20"/>
      <c r="D65" s="20"/>
      <c r="E65" s="21">
        <v>231501</v>
      </c>
      <c r="F65" s="22">
        <v>1</v>
      </c>
      <c r="G65" s="22">
        <v>4</v>
      </c>
      <c r="H65" s="23" t="s">
        <v>25</v>
      </c>
      <c r="I65" s="20" t="s">
        <v>24</v>
      </c>
      <c r="J65" s="20"/>
    </row>
    <row r="66" spans="1:10" ht="13.5" customHeight="1" x14ac:dyDescent="0.2">
      <c r="A66" s="20" t="s">
        <v>116</v>
      </c>
      <c r="B66" s="20"/>
      <c r="C66" s="20"/>
      <c r="D66" s="20"/>
      <c r="E66" s="21">
        <v>231502</v>
      </c>
      <c r="F66" s="22">
        <v>1</v>
      </c>
      <c r="G66" s="22">
        <v>4</v>
      </c>
      <c r="H66" s="23" t="s">
        <v>25</v>
      </c>
      <c r="I66" s="20" t="s">
        <v>24</v>
      </c>
      <c r="J66" s="20"/>
    </row>
    <row r="67" spans="1:10" ht="13.5" customHeight="1" x14ac:dyDescent="0.2">
      <c r="A67" s="20" t="s">
        <v>116</v>
      </c>
      <c r="B67" s="20"/>
      <c r="C67" s="20"/>
      <c r="D67" s="20"/>
      <c r="E67" s="21">
        <v>231502</v>
      </c>
      <c r="F67" s="22">
        <v>2</v>
      </c>
      <c r="G67" s="22">
        <v>1</v>
      </c>
      <c r="H67" s="23" t="s">
        <v>23</v>
      </c>
      <c r="I67" s="20" t="s">
        <v>24</v>
      </c>
      <c r="J67" s="20"/>
    </row>
    <row r="68" spans="1:10" ht="13.5" customHeight="1" x14ac:dyDescent="0.2">
      <c r="A68" s="20" t="s">
        <v>117</v>
      </c>
      <c r="B68" s="20"/>
      <c r="C68" s="20"/>
      <c r="D68" s="20"/>
      <c r="E68" s="21">
        <v>231504</v>
      </c>
      <c r="F68" s="22">
        <v>1</v>
      </c>
      <c r="G68" s="22">
        <v>1</v>
      </c>
      <c r="H68" s="23" t="s">
        <v>47</v>
      </c>
      <c r="I68" s="20" t="s">
        <v>39</v>
      </c>
      <c r="J68" s="20"/>
    </row>
    <row r="69" spans="1:10" ht="13.5" customHeight="1" x14ac:dyDescent="0.2">
      <c r="A69" s="20" t="s">
        <v>117</v>
      </c>
      <c r="B69" s="20"/>
      <c r="C69" s="20"/>
      <c r="D69" s="20"/>
      <c r="E69" s="21">
        <v>231504</v>
      </c>
      <c r="F69" s="22">
        <v>2</v>
      </c>
      <c r="G69" s="22">
        <v>1</v>
      </c>
      <c r="H69" s="23" t="s">
        <v>46</v>
      </c>
      <c r="I69" s="20" t="s">
        <v>39</v>
      </c>
      <c r="J69" s="20"/>
    </row>
    <row r="70" spans="1:10" ht="13.5" customHeight="1" x14ac:dyDescent="0.2">
      <c r="A70" s="20" t="s">
        <v>118</v>
      </c>
      <c r="B70" s="20"/>
      <c r="C70" s="20"/>
      <c r="D70" s="20"/>
      <c r="E70" s="21">
        <v>231505</v>
      </c>
      <c r="F70" s="22">
        <v>1</v>
      </c>
      <c r="G70" s="22">
        <v>1</v>
      </c>
      <c r="H70" s="23" t="s">
        <v>50</v>
      </c>
      <c r="I70" s="20" t="s">
        <v>26</v>
      </c>
      <c r="J70" s="20"/>
    </row>
    <row r="71" spans="1:10" ht="13.5" customHeight="1" x14ac:dyDescent="0.2">
      <c r="A71" s="20" t="s">
        <v>118</v>
      </c>
      <c r="B71" s="20"/>
      <c r="C71" s="20"/>
      <c r="D71" s="20"/>
      <c r="E71" s="21">
        <v>231505</v>
      </c>
      <c r="F71" s="22">
        <v>2</v>
      </c>
      <c r="G71" s="22">
        <v>1</v>
      </c>
      <c r="H71" s="23" t="s">
        <v>119</v>
      </c>
      <c r="I71" s="20" t="s">
        <v>26</v>
      </c>
      <c r="J71" s="20"/>
    </row>
    <row r="72" spans="1:10" ht="13.5" customHeight="1" x14ac:dyDescent="0.2">
      <c r="A72" s="20" t="s">
        <v>118</v>
      </c>
      <c r="B72" s="20"/>
      <c r="C72" s="20"/>
      <c r="D72" s="20"/>
      <c r="E72" s="21">
        <v>231505</v>
      </c>
      <c r="F72" s="22">
        <v>3</v>
      </c>
      <c r="G72" s="22">
        <v>1</v>
      </c>
      <c r="H72" s="23" t="s">
        <v>120</v>
      </c>
      <c r="I72" s="20" t="s">
        <v>26</v>
      </c>
      <c r="J72" s="20"/>
    </row>
    <row r="73" spans="1:10" ht="13.5" customHeight="1" x14ac:dyDescent="0.2">
      <c r="A73" s="20" t="s">
        <v>121</v>
      </c>
      <c r="B73" s="20"/>
      <c r="C73" s="20"/>
      <c r="D73" s="20"/>
      <c r="E73" s="21">
        <v>231507</v>
      </c>
      <c r="F73" s="22">
        <v>1</v>
      </c>
      <c r="G73" s="22">
        <v>2</v>
      </c>
      <c r="H73" s="23" t="s">
        <v>23</v>
      </c>
      <c r="I73" s="20" t="s">
        <v>24</v>
      </c>
      <c r="J73" s="20"/>
    </row>
    <row r="74" spans="1:10" ht="13.5" customHeight="1" x14ac:dyDescent="0.2">
      <c r="A74" s="20" t="s">
        <v>121</v>
      </c>
      <c r="B74" s="20"/>
      <c r="C74" s="20"/>
      <c r="D74" s="20"/>
      <c r="E74" s="21">
        <v>231507</v>
      </c>
      <c r="F74" s="22">
        <v>2</v>
      </c>
      <c r="G74" s="22">
        <v>2</v>
      </c>
      <c r="H74" s="23" t="s">
        <v>25</v>
      </c>
      <c r="I74" s="20" t="s">
        <v>24</v>
      </c>
      <c r="J74" s="20"/>
    </row>
    <row r="75" spans="1:10" ht="13.5" customHeight="1" x14ac:dyDescent="0.2">
      <c r="A75" s="20" t="s">
        <v>122</v>
      </c>
      <c r="B75" s="20"/>
      <c r="C75" s="20"/>
      <c r="D75" s="20"/>
      <c r="E75" s="21">
        <v>231508</v>
      </c>
      <c r="F75" s="22">
        <v>1</v>
      </c>
      <c r="G75" s="22">
        <v>2</v>
      </c>
      <c r="H75" s="23" t="s">
        <v>23</v>
      </c>
      <c r="I75" s="20" t="s">
        <v>24</v>
      </c>
      <c r="J75" s="20"/>
    </row>
    <row r="76" spans="1:10" ht="13.5" customHeight="1" x14ac:dyDescent="0.2">
      <c r="A76" s="20" t="s">
        <v>122</v>
      </c>
      <c r="B76" s="20"/>
      <c r="C76" s="20"/>
      <c r="D76" s="20"/>
      <c r="E76" s="21">
        <v>231508</v>
      </c>
      <c r="F76" s="22">
        <v>2</v>
      </c>
      <c r="G76" s="22">
        <v>2</v>
      </c>
      <c r="H76" s="23" t="s">
        <v>25</v>
      </c>
      <c r="I76" s="20" t="s">
        <v>24</v>
      </c>
      <c r="J76" s="20"/>
    </row>
    <row r="77" spans="1:10" ht="13.5" customHeight="1" x14ac:dyDescent="0.2">
      <c r="A77" s="20" t="s">
        <v>123</v>
      </c>
      <c r="B77" s="20"/>
      <c r="C77" s="20"/>
      <c r="D77" s="20"/>
      <c r="E77" s="21">
        <v>231509</v>
      </c>
      <c r="F77" s="22">
        <v>1</v>
      </c>
      <c r="G77" s="22">
        <v>2</v>
      </c>
      <c r="H77" s="23" t="s">
        <v>23</v>
      </c>
      <c r="I77" s="20" t="s">
        <v>24</v>
      </c>
      <c r="J77" s="20"/>
    </row>
    <row r="78" spans="1:10" ht="13.5" customHeight="1" x14ac:dyDescent="0.2">
      <c r="A78" s="20" t="s">
        <v>123</v>
      </c>
      <c r="B78" s="20"/>
      <c r="C78" s="20"/>
      <c r="D78" s="20"/>
      <c r="E78" s="21">
        <v>231509</v>
      </c>
      <c r="F78" s="22">
        <v>2</v>
      </c>
      <c r="G78" s="22">
        <v>2</v>
      </c>
      <c r="H78" s="23" t="s">
        <v>25</v>
      </c>
      <c r="I78" s="20" t="s">
        <v>24</v>
      </c>
      <c r="J78" s="20"/>
    </row>
    <row r="79" spans="1:10" ht="13.5" customHeight="1" x14ac:dyDescent="0.2">
      <c r="A79" s="20" t="s">
        <v>124</v>
      </c>
      <c r="B79" s="20"/>
      <c r="C79" s="20"/>
      <c r="D79" s="20"/>
      <c r="E79" s="21">
        <v>231510</v>
      </c>
      <c r="F79" s="22">
        <v>1</v>
      </c>
      <c r="G79" s="22">
        <v>1</v>
      </c>
      <c r="H79" s="23" t="s">
        <v>125</v>
      </c>
      <c r="I79" s="20" t="s">
        <v>39</v>
      </c>
      <c r="J79" s="20"/>
    </row>
    <row r="80" spans="1:10" ht="13.5" customHeight="1" x14ac:dyDescent="0.2">
      <c r="A80" s="20" t="s">
        <v>124</v>
      </c>
      <c r="B80" s="20"/>
      <c r="C80" s="20"/>
      <c r="D80" s="20"/>
      <c r="E80" s="21">
        <v>231510</v>
      </c>
      <c r="F80" s="22">
        <v>2</v>
      </c>
      <c r="G80" s="22">
        <v>1</v>
      </c>
      <c r="H80" s="23" t="s">
        <v>53</v>
      </c>
      <c r="I80" s="20" t="s">
        <v>39</v>
      </c>
      <c r="J80" s="20"/>
    </row>
    <row r="81" spans="1:10" ht="13.5" customHeight="1" x14ac:dyDescent="0.2">
      <c r="A81" s="20" t="s">
        <v>126</v>
      </c>
      <c r="B81" s="20"/>
      <c r="C81" s="20"/>
      <c r="D81" s="20"/>
      <c r="E81" s="21">
        <v>231511</v>
      </c>
      <c r="F81" s="22">
        <v>1</v>
      </c>
      <c r="G81" s="22">
        <v>1</v>
      </c>
      <c r="H81" s="23" t="s">
        <v>127</v>
      </c>
      <c r="I81" s="20" t="s">
        <v>39</v>
      </c>
      <c r="J81" s="20"/>
    </row>
    <row r="82" spans="1:10" ht="13.5" customHeight="1" x14ac:dyDescent="0.2">
      <c r="A82" s="20" t="s">
        <v>126</v>
      </c>
      <c r="B82" s="20"/>
      <c r="C82" s="20"/>
      <c r="D82" s="20"/>
      <c r="E82" s="21">
        <v>231511</v>
      </c>
      <c r="F82" s="22">
        <v>2</v>
      </c>
      <c r="G82" s="22">
        <v>1</v>
      </c>
      <c r="H82" s="23" t="s">
        <v>53</v>
      </c>
      <c r="I82" s="20" t="s">
        <v>39</v>
      </c>
      <c r="J82" s="20"/>
    </row>
    <row r="83" spans="1:10" ht="13.5" customHeight="1" x14ac:dyDescent="0.2">
      <c r="A83" s="20" t="s">
        <v>128</v>
      </c>
      <c r="B83" s="20"/>
      <c r="C83" s="20"/>
      <c r="D83" s="20"/>
      <c r="E83" s="21">
        <v>231512</v>
      </c>
      <c r="F83" s="22">
        <v>1</v>
      </c>
      <c r="G83" s="22">
        <v>1</v>
      </c>
      <c r="H83" s="23" t="s">
        <v>129</v>
      </c>
      <c r="I83" s="20" t="s">
        <v>39</v>
      </c>
      <c r="J83" s="20"/>
    </row>
    <row r="84" spans="1:10" ht="13.5" customHeight="1" x14ac:dyDescent="0.2">
      <c r="A84" s="20" t="s">
        <v>128</v>
      </c>
      <c r="B84" s="20"/>
      <c r="C84" s="20"/>
      <c r="D84" s="20"/>
      <c r="E84" s="21">
        <v>231512</v>
      </c>
      <c r="F84" s="22">
        <v>2</v>
      </c>
      <c r="G84" s="22">
        <v>1</v>
      </c>
      <c r="H84" s="23" t="s">
        <v>53</v>
      </c>
      <c r="I84" s="20" t="s">
        <v>39</v>
      </c>
      <c r="J84" s="20"/>
    </row>
    <row r="85" spans="1:10" ht="13.5" customHeight="1" x14ac:dyDescent="0.2">
      <c r="A85" s="20" t="s">
        <v>130</v>
      </c>
      <c r="B85" s="20"/>
      <c r="C85" s="20"/>
      <c r="D85" s="20"/>
      <c r="E85" s="21">
        <v>231513</v>
      </c>
      <c r="F85" s="22">
        <v>1</v>
      </c>
      <c r="G85" s="22">
        <v>1</v>
      </c>
      <c r="H85" s="23" t="s">
        <v>131</v>
      </c>
      <c r="I85" s="20" t="s">
        <v>39</v>
      </c>
      <c r="J85" s="20"/>
    </row>
    <row r="86" spans="1:10" ht="13.5" customHeight="1" x14ac:dyDescent="0.2">
      <c r="A86" s="20" t="s">
        <v>130</v>
      </c>
      <c r="B86" s="20"/>
      <c r="C86" s="20"/>
      <c r="D86" s="20"/>
      <c r="E86" s="21">
        <v>231513</v>
      </c>
      <c r="F86" s="22">
        <v>2</v>
      </c>
      <c r="G86" s="22">
        <v>1</v>
      </c>
      <c r="H86" s="23" t="s">
        <v>53</v>
      </c>
      <c r="I86" s="20" t="s">
        <v>39</v>
      </c>
      <c r="J86" s="20"/>
    </row>
    <row r="87" spans="1:10" ht="13.5" customHeight="1" x14ac:dyDescent="0.2">
      <c r="A87" s="20" t="s">
        <v>132</v>
      </c>
      <c r="B87" s="20"/>
      <c r="C87" s="20"/>
      <c r="D87" s="20"/>
      <c r="E87" s="21">
        <v>231514</v>
      </c>
      <c r="F87" s="22">
        <v>1</v>
      </c>
      <c r="G87" s="22">
        <v>1</v>
      </c>
      <c r="H87" s="23" t="s">
        <v>47</v>
      </c>
      <c r="I87" s="20" t="s">
        <v>39</v>
      </c>
      <c r="J87" s="20"/>
    </row>
    <row r="88" spans="1:10" ht="13.5" customHeight="1" x14ac:dyDescent="0.2">
      <c r="A88" s="20" t="s">
        <v>132</v>
      </c>
      <c r="B88" s="20"/>
      <c r="C88" s="20"/>
      <c r="D88" s="20"/>
      <c r="E88" s="21">
        <v>231514</v>
      </c>
      <c r="F88" s="22">
        <v>2</v>
      </c>
      <c r="G88" s="22">
        <v>1</v>
      </c>
      <c r="H88" s="23" t="s">
        <v>55</v>
      </c>
      <c r="I88" s="20" t="s">
        <v>39</v>
      </c>
      <c r="J88" s="20"/>
    </row>
    <row r="89" spans="1:10" ht="13.5" customHeight="1" x14ac:dyDescent="0.2">
      <c r="A89" s="20" t="s">
        <v>133</v>
      </c>
      <c r="B89" s="20"/>
      <c r="C89" s="20"/>
      <c r="D89" s="20"/>
      <c r="E89" s="21">
        <v>231515</v>
      </c>
      <c r="F89" s="22">
        <v>1</v>
      </c>
      <c r="G89" s="22">
        <v>1</v>
      </c>
      <c r="H89" s="23" t="s">
        <v>47</v>
      </c>
      <c r="I89" s="20" t="s">
        <v>39</v>
      </c>
      <c r="J89" s="20"/>
    </row>
    <row r="90" spans="1:10" ht="13.5" customHeight="1" x14ac:dyDescent="0.2">
      <c r="A90" s="20" t="s">
        <v>133</v>
      </c>
      <c r="B90" s="20"/>
      <c r="C90" s="20"/>
      <c r="D90" s="20"/>
      <c r="E90" s="21">
        <v>231515</v>
      </c>
      <c r="F90" s="22">
        <v>2</v>
      </c>
      <c r="G90" s="22">
        <v>1</v>
      </c>
      <c r="H90" s="23" t="s">
        <v>46</v>
      </c>
      <c r="I90" s="20" t="s">
        <v>39</v>
      </c>
      <c r="J90" s="20"/>
    </row>
    <row r="91" spans="1:10" ht="13.5" customHeight="1" x14ac:dyDescent="0.2">
      <c r="A91" s="20" t="s">
        <v>134</v>
      </c>
      <c r="B91" s="20"/>
      <c r="C91" s="20"/>
      <c r="D91" s="20"/>
      <c r="E91" s="21">
        <v>231516</v>
      </c>
      <c r="F91" s="22">
        <v>1</v>
      </c>
      <c r="G91" s="22">
        <v>1</v>
      </c>
      <c r="H91" s="23" t="s">
        <v>47</v>
      </c>
      <c r="I91" s="20" t="s">
        <v>39</v>
      </c>
      <c r="J91" s="20"/>
    </row>
    <row r="92" spans="1:10" ht="13.5" customHeight="1" x14ac:dyDescent="0.2">
      <c r="A92" s="20" t="s">
        <v>134</v>
      </c>
      <c r="B92" s="20"/>
      <c r="C92" s="20"/>
      <c r="D92" s="20"/>
      <c r="E92" s="21">
        <v>231516</v>
      </c>
      <c r="F92" s="22">
        <v>2</v>
      </c>
      <c r="G92" s="22">
        <v>1</v>
      </c>
      <c r="H92" s="23" t="s">
        <v>49</v>
      </c>
      <c r="I92" s="20" t="s">
        <v>39</v>
      </c>
      <c r="J92" s="20"/>
    </row>
    <row r="93" spans="1:10" ht="13.5" customHeight="1" x14ac:dyDescent="0.2">
      <c r="A93" s="20" t="s">
        <v>135</v>
      </c>
      <c r="B93" s="20"/>
      <c r="C93" s="20"/>
      <c r="D93" s="20"/>
      <c r="E93" s="21">
        <v>231517</v>
      </c>
      <c r="F93" s="22">
        <v>1</v>
      </c>
      <c r="G93" s="22">
        <v>1</v>
      </c>
      <c r="H93" s="23" t="s">
        <v>47</v>
      </c>
      <c r="I93" s="20" t="s">
        <v>39</v>
      </c>
      <c r="J93" s="20"/>
    </row>
    <row r="94" spans="1:10" ht="13.5" customHeight="1" x14ac:dyDescent="0.2">
      <c r="A94" s="20" t="s">
        <v>135</v>
      </c>
      <c r="B94" s="20"/>
      <c r="C94" s="20"/>
      <c r="D94" s="20"/>
      <c r="E94" s="21">
        <v>231517</v>
      </c>
      <c r="F94" s="22">
        <v>2</v>
      </c>
      <c r="G94" s="22">
        <v>1</v>
      </c>
      <c r="H94" s="23" t="s">
        <v>49</v>
      </c>
      <c r="I94" s="20" t="s">
        <v>39</v>
      </c>
      <c r="J94" s="20"/>
    </row>
    <row r="95" spans="1:10" ht="13.5" customHeight="1" x14ac:dyDescent="0.2">
      <c r="A95" s="20" t="s">
        <v>136</v>
      </c>
      <c r="B95" s="20"/>
      <c r="C95" s="20"/>
      <c r="D95" s="20"/>
      <c r="E95" s="21">
        <v>231518</v>
      </c>
      <c r="F95" s="22">
        <v>1</v>
      </c>
      <c r="G95" s="22">
        <v>1</v>
      </c>
      <c r="H95" s="23" t="s">
        <v>137</v>
      </c>
      <c r="I95" s="20" t="s">
        <v>138</v>
      </c>
      <c r="J95" s="20"/>
    </row>
    <row r="96" spans="1:10" ht="13.5" customHeight="1" x14ac:dyDescent="0.2">
      <c r="A96" s="20" t="s">
        <v>139</v>
      </c>
      <c r="B96" s="20"/>
      <c r="C96" s="20"/>
      <c r="D96" s="20"/>
      <c r="E96" s="21">
        <v>231519</v>
      </c>
      <c r="F96" s="22">
        <v>1</v>
      </c>
      <c r="G96" s="22">
        <v>1</v>
      </c>
      <c r="H96" s="23" t="s">
        <v>56</v>
      </c>
      <c r="I96" s="20" t="s">
        <v>140</v>
      </c>
      <c r="J96" s="20"/>
    </row>
    <row r="97" spans="1:47" ht="13.5" customHeight="1" x14ac:dyDescent="0.2">
      <c r="A97" s="20" t="s">
        <v>141</v>
      </c>
      <c r="B97" s="20"/>
      <c r="C97" s="20"/>
      <c r="D97" s="20"/>
      <c r="E97" s="21">
        <v>231520</v>
      </c>
      <c r="F97" s="22">
        <v>1</v>
      </c>
      <c r="G97" s="22">
        <v>1</v>
      </c>
      <c r="H97" s="23" t="s">
        <v>131</v>
      </c>
      <c r="I97" s="20" t="s">
        <v>39</v>
      </c>
      <c r="J97" s="20"/>
    </row>
    <row r="98" spans="1:47" ht="13.5" customHeight="1" x14ac:dyDescent="0.2">
      <c r="A98" s="20" t="s">
        <v>141</v>
      </c>
      <c r="B98" s="20"/>
      <c r="C98" s="20"/>
      <c r="D98" s="20"/>
      <c r="E98" s="21">
        <v>231520</v>
      </c>
      <c r="F98" s="22">
        <v>2</v>
      </c>
      <c r="G98" s="22">
        <v>1</v>
      </c>
      <c r="H98" s="23" t="s">
        <v>53</v>
      </c>
      <c r="I98" s="20" t="s">
        <v>39</v>
      </c>
      <c r="J98" s="20"/>
    </row>
    <row r="99" spans="1:47" ht="13.5" customHeight="1" x14ac:dyDescent="0.2">
      <c r="A99" s="57" t="s">
        <v>177</v>
      </c>
      <c r="B99" s="57"/>
      <c r="C99" s="57"/>
      <c r="D99" s="57"/>
      <c r="E99" s="58">
        <v>231528</v>
      </c>
      <c r="F99" s="59">
        <v>1</v>
      </c>
      <c r="G99" s="59">
        <v>1</v>
      </c>
      <c r="H99" s="60" t="s">
        <v>51</v>
      </c>
      <c r="I99" s="57" t="s">
        <v>73</v>
      </c>
      <c r="J99" s="57"/>
      <c r="K99" s="61"/>
      <c r="L99" s="61"/>
      <c r="M99" s="61"/>
      <c r="N99" s="34"/>
    </row>
    <row r="100" spans="1:47" ht="13.5" customHeight="1" x14ac:dyDescent="0.2">
      <c r="A100" s="57" t="s">
        <v>178</v>
      </c>
      <c r="B100" s="57"/>
      <c r="C100" s="57"/>
      <c r="D100" s="57"/>
      <c r="E100" s="58">
        <v>231530</v>
      </c>
      <c r="F100" s="59">
        <v>1</v>
      </c>
      <c r="G100" s="59">
        <v>1</v>
      </c>
      <c r="H100" s="60" t="s">
        <v>179</v>
      </c>
      <c r="I100" s="57" t="s">
        <v>68</v>
      </c>
      <c r="J100" s="57"/>
      <c r="K100" s="61"/>
      <c r="L100" s="61"/>
      <c r="M100" s="61"/>
      <c r="N100" s="34"/>
    </row>
    <row r="101" spans="1:47" ht="13.5" customHeight="1" x14ac:dyDescent="0.2">
      <c r="A101" s="62" t="s">
        <v>183</v>
      </c>
      <c r="B101" s="62"/>
      <c r="C101" s="62"/>
      <c r="D101" s="62"/>
      <c r="E101" s="63">
        <v>231531</v>
      </c>
      <c r="F101" s="64">
        <v>1</v>
      </c>
      <c r="G101" s="64">
        <v>1</v>
      </c>
      <c r="H101" s="65" t="s">
        <v>129</v>
      </c>
      <c r="I101" s="62" t="s">
        <v>39</v>
      </c>
      <c r="J101" s="62"/>
      <c r="K101" s="66"/>
      <c r="L101" s="66"/>
      <c r="M101" s="66"/>
      <c r="N101" s="34"/>
    </row>
    <row r="102" spans="1:47" ht="13.5" customHeight="1" x14ac:dyDescent="0.2">
      <c r="A102" s="62" t="s">
        <v>184</v>
      </c>
      <c r="B102" s="62"/>
      <c r="C102" s="62"/>
      <c r="D102" s="62"/>
      <c r="E102" s="63">
        <v>231532</v>
      </c>
      <c r="F102" s="64">
        <v>1</v>
      </c>
      <c r="G102" s="64">
        <v>1</v>
      </c>
      <c r="H102" s="65" t="s">
        <v>53</v>
      </c>
      <c r="I102" s="62" t="s">
        <v>39</v>
      </c>
      <c r="J102" s="62"/>
      <c r="K102" s="66"/>
      <c r="L102" s="66"/>
      <c r="M102" s="66"/>
      <c r="N102" s="34"/>
    </row>
    <row r="103" spans="1:47" ht="13.5" customHeight="1" x14ac:dyDescent="0.2">
      <c r="A103" s="62" t="s">
        <v>185</v>
      </c>
      <c r="B103" s="62"/>
      <c r="C103" s="62"/>
      <c r="D103" s="62"/>
      <c r="E103" s="63">
        <v>231529</v>
      </c>
      <c r="F103" s="64">
        <v>1</v>
      </c>
      <c r="G103" s="64">
        <v>1</v>
      </c>
      <c r="H103" s="65" t="s">
        <v>53</v>
      </c>
      <c r="I103" s="62" t="s">
        <v>39</v>
      </c>
      <c r="J103" s="62"/>
      <c r="K103" s="66"/>
      <c r="L103" s="66"/>
      <c r="M103" s="66"/>
      <c r="N103" s="34"/>
    </row>
    <row r="104" spans="1:47" ht="13.5" customHeight="1" x14ac:dyDescent="0.2">
      <c r="A104" s="57" t="s">
        <v>180</v>
      </c>
      <c r="B104" s="57"/>
      <c r="C104" s="57"/>
      <c r="D104" s="57"/>
      <c r="E104" s="58">
        <v>231533</v>
      </c>
      <c r="F104" s="59">
        <v>1</v>
      </c>
      <c r="G104" s="59">
        <v>1</v>
      </c>
      <c r="H104" s="60" t="s">
        <v>67</v>
      </c>
      <c r="I104" s="57" t="s">
        <v>52</v>
      </c>
      <c r="J104" s="57"/>
      <c r="K104" s="61"/>
      <c r="L104" s="61"/>
      <c r="M104" s="61"/>
      <c r="N104" s="34"/>
    </row>
    <row r="105" spans="1:47" ht="13.5" customHeight="1" x14ac:dyDescent="0.2">
      <c r="A105" s="19" t="s">
        <v>8</v>
      </c>
    </row>
    <row r="106" spans="1:47" ht="13.5" customHeight="1" x14ac:dyDescent="0.2">
      <c r="A106" s="20" t="s">
        <v>142</v>
      </c>
      <c r="B106" s="20"/>
      <c r="C106" s="20"/>
      <c r="D106" s="20"/>
      <c r="E106" s="21">
        <v>231404</v>
      </c>
      <c r="F106" s="22">
        <v>1</v>
      </c>
      <c r="G106" s="22">
        <v>1</v>
      </c>
      <c r="H106" s="23" t="s">
        <v>143</v>
      </c>
      <c r="I106" s="20" t="s">
        <v>69</v>
      </c>
      <c r="J106" s="20"/>
      <c r="AP106" s="48" t="s">
        <v>188</v>
      </c>
      <c r="AQ106" s="48">
        <v>231404</v>
      </c>
      <c r="AR106" s="48">
        <v>1</v>
      </c>
      <c r="AS106" s="48">
        <v>1</v>
      </c>
      <c r="AT106" s="50">
        <v>46101.447916666664</v>
      </c>
      <c r="AU106" s="51" t="s">
        <v>66</v>
      </c>
    </row>
    <row r="107" spans="1:47" ht="13.5" customHeight="1" x14ac:dyDescent="0.2">
      <c r="A107" s="20" t="s">
        <v>142</v>
      </c>
      <c r="B107" s="20"/>
      <c r="C107" s="20"/>
      <c r="D107" s="20"/>
      <c r="E107" s="21">
        <v>231404</v>
      </c>
      <c r="F107" s="22">
        <v>2</v>
      </c>
      <c r="G107" s="22">
        <v>1</v>
      </c>
      <c r="H107" s="23" t="s">
        <v>144</v>
      </c>
      <c r="I107" s="20" t="s">
        <v>69</v>
      </c>
      <c r="J107" s="20"/>
      <c r="AP107" s="48" t="s">
        <v>189</v>
      </c>
      <c r="AQ107" s="48">
        <v>231404</v>
      </c>
      <c r="AR107" s="48">
        <v>2</v>
      </c>
      <c r="AS107" s="48">
        <v>1</v>
      </c>
      <c r="AT107" s="50">
        <v>46101.443749999999</v>
      </c>
      <c r="AU107" s="51" t="s">
        <v>66</v>
      </c>
    </row>
    <row r="108" spans="1:47" ht="13.5" customHeight="1" x14ac:dyDescent="0.2">
      <c r="A108" s="20" t="s">
        <v>142</v>
      </c>
      <c r="B108" s="20"/>
      <c r="C108" s="20"/>
      <c r="D108" s="20"/>
      <c r="E108" s="21">
        <v>231404</v>
      </c>
      <c r="F108" s="22">
        <v>3</v>
      </c>
      <c r="G108" s="22">
        <v>1</v>
      </c>
      <c r="H108" s="23" t="s">
        <v>145</v>
      </c>
      <c r="I108" s="20" t="s">
        <v>69</v>
      </c>
      <c r="J108" s="20"/>
      <c r="AP108" s="48" t="s">
        <v>190</v>
      </c>
      <c r="AQ108" s="48">
        <v>231404</v>
      </c>
      <c r="AR108" s="48">
        <v>3</v>
      </c>
      <c r="AS108" s="48">
        <v>1</v>
      </c>
      <c r="AT108" s="50">
        <v>46101.488194444442</v>
      </c>
      <c r="AU108" s="51" t="s">
        <v>66</v>
      </c>
    </row>
    <row r="109" spans="1:47" ht="13.5" customHeight="1" x14ac:dyDescent="0.2">
      <c r="A109" s="20" t="s">
        <v>146</v>
      </c>
      <c r="B109" s="20"/>
      <c r="C109" s="20"/>
      <c r="D109" s="20"/>
      <c r="E109" s="21">
        <v>231405</v>
      </c>
      <c r="F109" s="22">
        <v>1</v>
      </c>
      <c r="G109" s="22">
        <v>1</v>
      </c>
      <c r="H109" s="23" t="s">
        <v>147</v>
      </c>
      <c r="I109" s="20" t="s">
        <v>69</v>
      </c>
      <c r="J109" s="20"/>
      <c r="AP109" s="48" t="s">
        <v>191</v>
      </c>
      <c r="AQ109" s="48">
        <v>231405</v>
      </c>
      <c r="AR109" s="48">
        <v>1</v>
      </c>
      <c r="AS109" s="48">
        <v>1</v>
      </c>
      <c r="AT109" s="50">
        <v>46101.458333333336</v>
      </c>
      <c r="AU109" s="51" t="s">
        <v>66</v>
      </c>
    </row>
    <row r="110" spans="1:47" ht="13.5" customHeight="1" x14ac:dyDescent="0.2">
      <c r="A110" s="20" t="s">
        <v>146</v>
      </c>
      <c r="B110" s="20"/>
      <c r="C110" s="20"/>
      <c r="D110" s="20"/>
      <c r="E110" s="21">
        <v>231405</v>
      </c>
      <c r="F110" s="22">
        <v>2</v>
      </c>
      <c r="G110" s="22">
        <v>1</v>
      </c>
      <c r="H110" s="23" t="s">
        <v>58</v>
      </c>
      <c r="I110" s="20" t="s">
        <v>69</v>
      </c>
      <c r="J110" s="20"/>
      <c r="AP110" s="48" t="s">
        <v>192</v>
      </c>
      <c r="AQ110" s="48">
        <v>231405</v>
      </c>
      <c r="AR110" s="48">
        <v>2</v>
      </c>
      <c r="AS110" s="48">
        <v>1</v>
      </c>
      <c r="AT110" s="50">
        <v>46101.443749999999</v>
      </c>
      <c r="AU110" s="51" t="s">
        <v>66</v>
      </c>
    </row>
    <row r="111" spans="1:47" ht="13.5" customHeight="1" x14ac:dyDescent="0.2">
      <c r="A111" s="20" t="s">
        <v>148</v>
      </c>
      <c r="B111" s="20"/>
      <c r="C111" s="20"/>
      <c r="D111" s="20"/>
      <c r="E111" s="21">
        <v>231406</v>
      </c>
      <c r="F111" s="22">
        <v>1</v>
      </c>
      <c r="G111" s="22">
        <v>1</v>
      </c>
      <c r="H111" s="23" t="s">
        <v>149</v>
      </c>
      <c r="I111" s="20" t="s">
        <v>69</v>
      </c>
      <c r="J111" s="20"/>
      <c r="P111" s="48" t="s">
        <v>193</v>
      </c>
      <c r="Q111" s="48">
        <v>231406</v>
      </c>
      <c r="R111" s="48">
        <v>1</v>
      </c>
      <c r="S111" s="49">
        <v>1</v>
      </c>
      <c r="T111" s="52">
        <v>46104.467361111114</v>
      </c>
      <c r="U111" s="51" t="s">
        <v>66</v>
      </c>
      <c r="V111" s="68" t="s">
        <v>212</v>
      </c>
      <c r="AP111" s="48" t="s">
        <v>193</v>
      </c>
      <c r="AQ111" s="48">
        <v>231406</v>
      </c>
      <c r="AR111" s="48">
        <v>1</v>
      </c>
      <c r="AS111" s="48">
        <v>1</v>
      </c>
      <c r="AT111" s="50">
        <v>46104.466666666667</v>
      </c>
      <c r="AU111" s="51" t="s">
        <v>66</v>
      </c>
    </row>
    <row r="112" spans="1:47" ht="13.5" customHeight="1" x14ac:dyDescent="0.2">
      <c r="A112" s="20" t="s">
        <v>148</v>
      </c>
      <c r="B112" s="20"/>
      <c r="C112" s="20"/>
      <c r="D112" s="20"/>
      <c r="E112" s="21">
        <v>231406</v>
      </c>
      <c r="F112" s="22">
        <v>2</v>
      </c>
      <c r="G112" s="22">
        <v>1</v>
      </c>
      <c r="H112" s="23" t="s">
        <v>60</v>
      </c>
      <c r="I112" s="20" t="s">
        <v>69</v>
      </c>
      <c r="J112" s="20"/>
      <c r="AP112" s="48" t="s">
        <v>194</v>
      </c>
      <c r="AQ112" s="48">
        <v>231406</v>
      </c>
      <c r="AR112" s="48">
        <v>2</v>
      </c>
      <c r="AS112" s="48">
        <v>1</v>
      </c>
      <c r="AT112" s="50">
        <v>46101.444444444445</v>
      </c>
      <c r="AU112" s="51" t="s">
        <v>66</v>
      </c>
    </row>
    <row r="113" spans="1:47" ht="13.5" customHeight="1" x14ac:dyDescent="0.2">
      <c r="A113" s="20" t="s">
        <v>150</v>
      </c>
      <c r="B113" s="20"/>
      <c r="C113" s="20"/>
      <c r="D113" s="20"/>
      <c r="E113" s="21">
        <v>231407</v>
      </c>
      <c r="F113" s="22">
        <v>1</v>
      </c>
      <c r="G113" s="22">
        <v>1</v>
      </c>
      <c r="H113" s="23" t="s">
        <v>151</v>
      </c>
      <c r="I113" s="20" t="s">
        <v>73</v>
      </c>
      <c r="J113" s="20"/>
      <c r="AP113" s="48"/>
      <c r="AQ113" s="48"/>
      <c r="AR113" s="48"/>
      <c r="AS113" s="48"/>
      <c r="AT113" s="48"/>
      <c r="AU113" s="48"/>
    </row>
    <row r="114" spans="1:47" ht="13.5" customHeight="1" x14ac:dyDescent="0.2">
      <c r="A114" s="20" t="s">
        <v>152</v>
      </c>
      <c r="B114" s="20"/>
      <c r="C114" s="20"/>
      <c r="D114" s="20"/>
      <c r="E114" s="21">
        <v>231408</v>
      </c>
      <c r="F114" s="22">
        <v>1</v>
      </c>
      <c r="G114" s="22">
        <v>1</v>
      </c>
      <c r="H114" s="23" t="s">
        <v>153</v>
      </c>
      <c r="I114" s="20" t="s">
        <v>73</v>
      </c>
      <c r="J114" s="20"/>
      <c r="AP114" s="48" t="s">
        <v>195</v>
      </c>
      <c r="AQ114" s="48">
        <v>231408</v>
      </c>
      <c r="AR114" s="48">
        <v>1</v>
      </c>
      <c r="AS114" s="48">
        <v>1</v>
      </c>
      <c r="AT114" s="50">
        <v>46101.453472222223</v>
      </c>
      <c r="AU114" s="51" t="s">
        <v>66</v>
      </c>
    </row>
    <row r="115" spans="1:47" ht="13.5" customHeight="1" x14ac:dyDescent="0.2">
      <c r="A115" s="20" t="s">
        <v>154</v>
      </c>
      <c r="B115" s="20"/>
      <c r="C115" s="20"/>
      <c r="D115" s="20"/>
      <c r="E115" s="21">
        <v>231409</v>
      </c>
      <c r="F115" s="22">
        <v>1</v>
      </c>
      <c r="G115" s="22">
        <v>1</v>
      </c>
      <c r="H115" s="23" t="s">
        <v>155</v>
      </c>
      <c r="I115" s="20" t="s">
        <v>54</v>
      </c>
      <c r="J115" s="20"/>
      <c r="AP115" s="48" t="s">
        <v>196</v>
      </c>
      <c r="AQ115" s="48">
        <v>231409</v>
      </c>
      <c r="AR115" s="48">
        <v>1</v>
      </c>
      <c r="AS115" s="48">
        <v>1</v>
      </c>
      <c r="AT115" s="50">
        <v>46101.477777777778</v>
      </c>
      <c r="AU115" s="51" t="s">
        <v>66</v>
      </c>
    </row>
    <row r="116" spans="1:47" ht="13.5" customHeight="1" x14ac:dyDescent="0.2">
      <c r="A116" s="20" t="s">
        <v>154</v>
      </c>
      <c r="B116" s="20"/>
      <c r="C116" s="20"/>
      <c r="D116" s="20"/>
      <c r="E116" s="21">
        <v>231409</v>
      </c>
      <c r="F116" s="22">
        <v>2</v>
      </c>
      <c r="G116" s="22">
        <v>1</v>
      </c>
      <c r="H116" s="23" t="s">
        <v>156</v>
      </c>
      <c r="I116" s="20" t="s">
        <v>54</v>
      </c>
      <c r="J116" s="20"/>
      <c r="AP116" s="48" t="s">
        <v>197</v>
      </c>
      <c r="AQ116" s="48">
        <v>231409</v>
      </c>
      <c r="AR116" s="48">
        <v>2</v>
      </c>
      <c r="AS116" s="48">
        <v>1</v>
      </c>
      <c r="AT116" s="50">
        <v>46101.455555555556</v>
      </c>
      <c r="AU116" s="51" t="s">
        <v>66</v>
      </c>
    </row>
    <row r="117" spans="1:47" ht="13.5" customHeight="1" x14ac:dyDescent="0.2">
      <c r="A117" s="20" t="s">
        <v>157</v>
      </c>
      <c r="B117" s="20"/>
      <c r="C117" s="20"/>
      <c r="D117" s="20"/>
      <c r="E117" s="21">
        <v>231410</v>
      </c>
      <c r="F117" s="22">
        <v>1</v>
      </c>
      <c r="G117" s="22">
        <v>1</v>
      </c>
      <c r="H117" s="23" t="s">
        <v>158</v>
      </c>
      <c r="I117" s="20" t="s">
        <v>52</v>
      </c>
      <c r="J117" s="20"/>
      <c r="AP117" s="48" t="s">
        <v>198</v>
      </c>
      <c r="AQ117" s="48">
        <v>231410</v>
      </c>
      <c r="AR117" s="48">
        <v>1</v>
      </c>
      <c r="AS117" s="48">
        <v>1</v>
      </c>
      <c r="AT117" s="50">
        <v>46101.444444444445</v>
      </c>
      <c r="AU117" s="51" t="s">
        <v>66</v>
      </c>
    </row>
    <row r="118" spans="1:47" ht="13.5" customHeight="1" x14ac:dyDescent="0.2">
      <c r="A118" s="20" t="s">
        <v>157</v>
      </c>
      <c r="B118" s="20"/>
      <c r="C118" s="20"/>
      <c r="D118" s="20"/>
      <c r="E118" s="21">
        <v>231410</v>
      </c>
      <c r="F118" s="22">
        <v>2</v>
      </c>
      <c r="G118" s="22">
        <v>1</v>
      </c>
      <c r="H118" s="23" t="s">
        <v>159</v>
      </c>
      <c r="I118" s="20" t="s">
        <v>52</v>
      </c>
      <c r="J118" s="20"/>
      <c r="AP118" s="48" t="s">
        <v>199</v>
      </c>
      <c r="AQ118" s="48">
        <v>231410</v>
      </c>
      <c r="AR118" s="48">
        <v>2</v>
      </c>
      <c r="AS118" s="48">
        <v>1</v>
      </c>
      <c r="AT118" s="50">
        <v>46101.458333333336</v>
      </c>
      <c r="AU118" s="51" t="s">
        <v>66</v>
      </c>
    </row>
    <row r="119" spans="1:47" ht="13.5" customHeight="1" x14ac:dyDescent="0.2">
      <c r="A119" s="20" t="s">
        <v>160</v>
      </c>
      <c r="B119" s="20"/>
      <c r="C119" s="20"/>
      <c r="D119" s="20"/>
      <c r="E119" s="21">
        <v>231411</v>
      </c>
      <c r="F119" s="22">
        <v>1</v>
      </c>
      <c r="G119" s="22">
        <v>1</v>
      </c>
      <c r="H119" s="23" t="s">
        <v>57</v>
      </c>
      <c r="I119" s="20" t="s">
        <v>81</v>
      </c>
      <c r="J119" s="20"/>
      <c r="AP119" s="48" t="s">
        <v>200</v>
      </c>
      <c r="AQ119" s="48">
        <v>231411</v>
      </c>
      <c r="AR119" s="48">
        <v>1</v>
      </c>
      <c r="AS119" s="48">
        <v>1</v>
      </c>
      <c r="AT119" s="50">
        <v>46101.447916666664</v>
      </c>
      <c r="AU119" s="51" t="s">
        <v>66</v>
      </c>
    </row>
    <row r="120" spans="1:47" ht="13.5" customHeight="1" x14ac:dyDescent="0.2">
      <c r="A120" s="20" t="s">
        <v>160</v>
      </c>
      <c r="B120" s="20"/>
      <c r="C120" s="20"/>
      <c r="D120" s="20"/>
      <c r="E120" s="21">
        <v>231411</v>
      </c>
      <c r="F120" s="22">
        <v>2</v>
      </c>
      <c r="G120" s="22">
        <v>1</v>
      </c>
      <c r="H120" s="23" t="s">
        <v>161</v>
      </c>
      <c r="I120" s="20" t="s">
        <v>81</v>
      </c>
      <c r="J120" s="20"/>
      <c r="AP120" s="48" t="s">
        <v>201</v>
      </c>
      <c r="AQ120" s="48">
        <v>231411</v>
      </c>
      <c r="AR120" s="48">
        <v>2</v>
      </c>
      <c r="AS120" s="48">
        <v>1</v>
      </c>
      <c r="AT120" s="50">
        <v>46101.484027777777</v>
      </c>
      <c r="AU120" s="51" t="s">
        <v>66</v>
      </c>
    </row>
    <row r="121" spans="1:47" ht="13.5" customHeight="1" x14ac:dyDescent="0.2">
      <c r="A121" s="20" t="s">
        <v>162</v>
      </c>
      <c r="B121" s="20"/>
      <c r="C121" s="20"/>
      <c r="D121" s="20"/>
      <c r="E121" s="21">
        <v>231412</v>
      </c>
      <c r="F121" s="22">
        <v>1</v>
      </c>
      <c r="G121" s="22">
        <v>1</v>
      </c>
      <c r="H121" s="23" t="s">
        <v>163</v>
      </c>
      <c r="I121" s="20" t="s">
        <v>87</v>
      </c>
      <c r="J121" s="20"/>
      <c r="AP121" s="48" t="s">
        <v>202</v>
      </c>
      <c r="AQ121" s="48">
        <v>231412</v>
      </c>
      <c r="AR121" s="48">
        <v>1</v>
      </c>
      <c r="AS121" s="48">
        <v>1</v>
      </c>
      <c r="AT121" s="50">
        <v>46101.543055555558</v>
      </c>
      <c r="AU121" s="51" t="s">
        <v>66</v>
      </c>
    </row>
    <row r="122" spans="1:47" ht="13.5" customHeight="1" x14ac:dyDescent="0.2">
      <c r="A122" s="24" t="s">
        <v>164</v>
      </c>
      <c r="B122" s="24"/>
      <c r="C122" s="24"/>
      <c r="D122" s="24"/>
      <c r="E122" s="25">
        <v>231413</v>
      </c>
      <c r="F122" s="26">
        <v>1</v>
      </c>
      <c r="G122" s="26">
        <v>1</v>
      </c>
      <c r="H122" s="27" t="s">
        <v>60</v>
      </c>
      <c r="I122" s="24" t="s">
        <v>59</v>
      </c>
      <c r="J122" s="24"/>
      <c r="K122" s="28"/>
      <c r="L122" s="28"/>
      <c r="M122" s="28"/>
      <c r="AP122" s="48" t="s">
        <v>203</v>
      </c>
      <c r="AQ122" s="48">
        <v>231413</v>
      </c>
      <c r="AR122" s="48">
        <v>1</v>
      </c>
      <c r="AS122" s="48">
        <v>1</v>
      </c>
      <c r="AT122" s="50">
        <v>46101.459027777775</v>
      </c>
      <c r="AU122" s="51" t="s">
        <v>66</v>
      </c>
    </row>
    <row r="123" spans="1:47" ht="13.5" customHeight="1" x14ac:dyDescent="0.2">
      <c r="A123" s="24" t="s">
        <v>165</v>
      </c>
      <c r="B123" s="24"/>
      <c r="C123" s="24"/>
      <c r="D123" s="24"/>
      <c r="E123" s="25">
        <v>231425</v>
      </c>
      <c r="F123" s="26">
        <v>2</v>
      </c>
      <c r="G123" s="26">
        <v>1</v>
      </c>
      <c r="H123" s="27" t="s">
        <v>166</v>
      </c>
      <c r="I123" s="24" t="s">
        <v>59</v>
      </c>
      <c r="J123" s="24"/>
      <c r="K123" s="28"/>
      <c r="L123" s="28"/>
      <c r="M123" s="28"/>
      <c r="AP123" s="48" t="s">
        <v>204</v>
      </c>
      <c r="AQ123" s="48">
        <v>231425</v>
      </c>
      <c r="AR123" s="48">
        <v>2</v>
      </c>
      <c r="AS123" s="48">
        <v>1</v>
      </c>
      <c r="AT123" s="50">
        <v>46101.496527777781</v>
      </c>
      <c r="AU123" s="51" t="s">
        <v>66</v>
      </c>
    </row>
    <row r="124" spans="1:47" ht="13.5" customHeight="1" x14ac:dyDescent="0.2">
      <c r="A124" s="24" t="s">
        <v>167</v>
      </c>
      <c r="B124" s="24"/>
      <c r="C124" s="24"/>
      <c r="D124" s="24"/>
      <c r="E124" s="25">
        <v>231444</v>
      </c>
      <c r="F124" s="26">
        <v>1</v>
      </c>
      <c r="G124" s="26">
        <v>1</v>
      </c>
      <c r="H124" s="27" t="s">
        <v>168</v>
      </c>
      <c r="I124" s="24" t="s">
        <v>59</v>
      </c>
      <c r="J124" s="24"/>
      <c r="K124" s="28"/>
      <c r="L124" s="28"/>
      <c r="M124" s="28"/>
      <c r="AP124" s="48"/>
      <c r="AQ124" s="48"/>
      <c r="AR124" s="48"/>
      <c r="AS124" s="48"/>
      <c r="AT124" s="48"/>
      <c r="AU124" s="48"/>
    </row>
    <row r="125" spans="1:47" ht="13.5" customHeight="1" x14ac:dyDescent="0.2">
      <c r="A125" s="24" t="s">
        <v>167</v>
      </c>
      <c r="B125" s="24"/>
      <c r="C125" s="24"/>
      <c r="D125" s="24"/>
      <c r="E125" s="25">
        <v>231444</v>
      </c>
      <c r="F125" s="26">
        <v>2</v>
      </c>
      <c r="G125" s="26">
        <v>1</v>
      </c>
      <c r="H125" s="27" t="s">
        <v>60</v>
      </c>
      <c r="I125" s="24" t="s">
        <v>59</v>
      </c>
      <c r="J125" s="24"/>
      <c r="K125" s="28"/>
      <c r="L125" s="28"/>
      <c r="M125" s="28"/>
      <c r="AP125" s="48" t="s">
        <v>205</v>
      </c>
      <c r="AQ125" s="48">
        <v>231444</v>
      </c>
      <c r="AR125" s="48">
        <v>2</v>
      </c>
      <c r="AS125" s="48">
        <v>1</v>
      </c>
      <c r="AT125" s="50">
        <v>46101.581250000003</v>
      </c>
      <c r="AU125" s="51" t="s">
        <v>66</v>
      </c>
    </row>
    <row r="126" spans="1:47" ht="13.5" customHeight="1" x14ac:dyDescent="0.2">
      <c r="A126" s="24" t="s">
        <v>167</v>
      </c>
      <c r="B126" s="24"/>
      <c r="C126" s="24"/>
      <c r="D126" s="24"/>
      <c r="E126" s="25">
        <v>231445</v>
      </c>
      <c r="F126" s="26">
        <v>1</v>
      </c>
      <c r="G126" s="26">
        <v>1</v>
      </c>
      <c r="H126" s="27" t="s">
        <v>60</v>
      </c>
      <c r="I126" s="24" t="s">
        <v>59</v>
      </c>
      <c r="J126" s="24"/>
      <c r="K126" s="28"/>
      <c r="L126" s="28"/>
      <c r="M126" s="28"/>
      <c r="AP126" s="48" t="s">
        <v>206</v>
      </c>
      <c r="AQ126" s="48">
        <v>231445</v>
      </c>
      <c r="AR126" s="48">
        <v>1</v>
      </c>
      <c r="AS126" s="48">
        <v>1</v>
      </c>
      <c r="AT126" s="50">
        <v>46101.573611111111</v>
      </c>
      <c r="AU126" s="51" t="s">
        <v>66</v>
      </c>
    </row>
    <row r="127" spans="1:47" ht="13.5" customHeight="1" x14ac:dyDescent="0.2">
      <c r="A127" s="24" t="s">
        <v>167</v>
      </c>
      <c r="B127" s="24"/>
      <c r="C127" s="24"/>
      <c r="D127" s="24"/>
      <c r="E127" s="25">
        <v>231445</v>
      </c>
      <c r="F127" s="26">
        <v>2</v>
      </c>
      <c r="G127" s="26">
        <v>1</v>
      </c>
      <c r="H127" s="27" t="s">
        <v>169</v>
      </c>
      <c r="I127" s="24" t="s">
        <v>59</v>
      </c>
      <c r="J127" s="24"/>
      <c r="K127" s="28"/>
      <c r="L127" s="28"/>
      <c r="M127" s="28"/>
      <c r="AP127" s="48" t="s">
        <v>207</v>
      </c>
      <c r="AQ127" s="48">
        <v>231445</v>
      </c>
      <c r="AR127" s="48">
        <v>2</v>
      </c>
      <c r="AS127" s="48">
        <v>1</v>
      </c>
      <c r="AT127" s="50">
        <v>46101.556250000001</v>
      </c>
      <c r="AU127" s="51" t="s">
        <v>66</v>
      </c>
    </row>
    <row r="128" spans="1:47" ht="13.5" customHeight="1" x14ac:dyDescent="0.2">
      <c r="A128" s="24" t="s">
        <v>170</v>
      </c>
      <c r="B128" s="24"/>
      <c r="C128" s="24"/>
      <c r="D128" s="24"/>
      <c r="E128" s="25">
        <v>231446</v>
      </c>
      <c r="F128" s="26">
        <v>1</v>
      </c>
      <c r="G128" s="26">
        <v>1</v>
      </c>
      <c r="H128" s="27" t="s">
        <v>171</v>
      </c>
      <c r="I128" s="24" t="s">
        <v>59</v>
      </c>
      <c r="J128" s="24"/>
      <c r="K128" s="28"/>
      <c r="L128" s="28"/>
      <c r="M128" s="28"/>
      <c r="AP128" s="48" t="s">
        <v>208</v>
      </c>
      <c r="AQ128" s="48">
        <v>231446</v>
      </c>
      <c r="AR128" s="48">
        <v>1</v>
      </c>
      <c r="AS128" s="48">
        <v>1</v>
      </c>
      <c r="AT128" s="50">
        <v>46101.55972222222</v>
      </c>
      <c r="AU128" s="51" t="s">
        <v>66</v>
      </c>
    </row>
    <row r="129" spans="1:47" ht="13.5" customHeight="1" x14ac:dyDescent="0.2">
      <c r="A129" s="24" t="s">
        <v>170</v>
      </c>
      <c r="B129" s="24"/>
      <c r="C129" s="24"/>
      <c r="D129" s="24"/>
      <c r="E129" s="25">
        <v>231446</v>
      </c>
      <c r="F129" s="26">
        <v>2</v>
      </c>
      <c r="G129" s="26">
        <v>1</v>
      </c>
      <c r="H129" s="27" t="s">
        <v>172</v>
      </c>
      <c r="I129" s="24" t="s">
        <v>59</v>
      </c>
      <c r="J129" s="24"/>
      <c r="K129" s="28"/>
      <c r="L129" s="28"/>
      <c r="M129" s="28"/>
      <c r="AP129" s="48" t="s">
        <v>209</v>
      </c>
      <c r="AQ129" s="48">
        <v>231446</v>
      </c>
      <c r="AR129" s="48">
        <v>2</v>
      </c>
      <c r="AS129" s="48">
        <v>1</v>
      </c>
      <c r="AT129" s="50">
        <v>46104.47152777778</v>
      </c>
      <c r="AU129" s="51" t="s">
        <v>66</v>
      </c>
    </row>
    <row r="130" spans="1:47" ht="13.5" customHeight="1" x14ac:dyDescent="0.2">
      <c r="A130" s="24" t="s">
        <v>170</v>
      </c>
      <c r="B130" s="24"/>
      <c r="C130" s="24"/>
      <c r="D130" s="24"/>
      <c r="E130" s="25">
        <v>231447</v>
      </c>
      <c r="F130" s="26">
        <v>1</v>
      </c>
      <c r="G130" s="26">
        <v>1</v>
      </c>
      <c r="H130" s="27" t="s">
        <v>60</v>
      </c>
      <c r="I130" s="24" t="s">
        <v>59</v>
      </c>
      <c r="J130" s="24"/>
      <c r="K130" s="28"/>
      <c r="L130" s="28"/>
      <c r="M130" s="28"/>
      <c r="AP130" s="48" t="s">
        <v>210</v>
      </c>
      <c r="AQ130" s="48">
        <v>231447</v>
      </c>
      <c r="AR130" s="48">
        <v>1</v>
      </c>
      <c r="AS130" s="48">
        <v>1</v>
      </c>
      <c r="AT130" s="50">
        <v>46101.573611111111</v>
      </c>
      <c r="AU130" s="51" t="s">
        <v>66</v>
      </c>
    </row>
    <row r="131" spans="1:47" ht="13.5" customHeight="1" x14ac:dyDescent="0.2">
      <c r="A131" s="24" t="s">
        <v>170</v>
      </c>
      <c r="B131" s="24"/>
      <c r="C131" s="24"/>
      <c r="D131" s="24"/>
      <c r="E131" s="25">
        <v>231447</v>
      </c>
      <c r="F131" s="26">
        <v>2</v>
      </c>
      <c r="G131" s="26">
        <v>1</v>
      </c>
      <c r="H131" s="27" t="s">
        <v>173</v>
      </c>
      <c r="I131" s="24" t="s">
        <v>59</v>
      </c>
      <c r="J131" s="24"/>
      <c r="K131" s="28"/>
      <c r="L131" s="28"/>
      <c r="M131" s="28"/>
      <c r="AP131" s="48" t="s">
        <v>211</v>
      </c>
      <c r="AQ131" s="48">
        <v>231447</v>
      </c>
      <c r="AR131" s="48">
        <v>2</v>
      </c>
      <c r="AS131" s="48">
        <v>1</v>
      </c>
      <c r="AT131" s="50">
        <v>46101.560416666667</v>
      </c>
      <c r="AU131" s="51" t="s">
        <v>66</v>
      </c>
    </row>
    <row r="132" spans="1:47" ht="13.5" customHeight="1" x14ac:dyDescent="0.2">
      <c r="A132" s="62" t="s">
        <v>186</v>
      </c>
      <c r="B132" s="62"/>
      <c r="C132" s="62"/>
      <c r="D132" s="62"/>
      <c r="E132" s="63">
        <v>231489</v>
      </c>
      <c r="F132" s="64">
        <v>2</v>
      </c>
      <c r="G132" s="64">
        <v>1</v>
      </c>
      <c r="H132" s="65" t="s">
        <v>174</v>
      </c>
      <c r="I132" s="62" t="s">
        <v>175</v>
      </c>
      <c r="J132" s="62"/>
      <c r="K132" s="66"/>
      <c r="L132" s="66"/>
      <c r="M132" s="66"/>
    </row>
    <row r="133" spans="1:47" ht="13.5" customHeight="1" x14ac:dyDescent="0.2">
      <c r="A133" s="62" t="s">
        <v>186</v>
      </c>
      <c r="B133" s="62"/>
      <c r="C133" s="62"/>
      <c r="D133" s="62"/>
      <c r="E133" s="63">
        <v>231489</v>
      </c>
      <c r="F133" s="64">
        <v>3</v>
      </c>
      <c r="G133" s="64">
        <v>1</v>
      </c>
      <c r="H133" s="65" t="s">
        <v>176</v>
      </c>
      <c r="I133" s="62" t="s">
        <v>175</v>
      </c>
      <c r="J133" s="62"/>
      <c r="K133" s="66"/>
      <c r="L133" s="66"/>
      <c r="M133" s="66"/>
    </row>
    <row r="134" spans="1:47" ht="13.5" customHeight="1" x14ac:dyDescent="0.2">
      <c r="A134" s="62" t="s">
        <v>186</v>
      </c>
      <c r="B134" s="62"/>
      <c r="C134" s="62"/>
      <c r="D134" s="62"/>
      <c r="E134" s="63">
        <v>231489</v>
      </c>
      <c r="F134" s="64">
        <v>4</v>
      </c>
      <c r="G134" s="64">
        <v>1</v>
      </c>
      <c r="H134" s="65" t="s">
        <v>174</v>
      </c>
      <c r="I134" s="62" t="s">
        <v>175</v>
      </c>
      <c r="J134" s="62"/>
      <c r="K134" s="66"/>
      <c r="L134" s="66"/>
      <c r="M134" s="66"/>
    </row>
    <row r="135" spans="1:47" ht="13.5" customHeight="1" x14ac:dyDescent="0.2">
      <c r="A135" s="57" t="s">
        <v>61</v>
      </c>
      <c r="B135" s="57"/>
      <c r="C135" s="57"/>
      <c r="D135" s="57"/>
      <c r="E135" s="58">
        <v>231540</v>
      </c>
      <c r="F135" s="59">
        <v>1</v>
      </c>
      <c r="G135" s="59">
        <v>1</v>
      </c>
      <c r="H135" s="60" t="s">
        <v>181</v>
      </c>
      <c r="I135" s="57" t="s">
        <v>62</v>
      </c>
      <c r="J135" s="57"/>
      <c r="K135" s="61"/>
      <c r="L135" s="61"/>
      <c r="M135" s="61"/>
      <c r="N135" s="34"/>
    </row>
    <row r="136" spans="1:47" ht="12" customHeight="1" x14ac:dyDescent="0.2"/>
    <row r="137" spans="1:47" ht="12.95" customHeight="1" x14ac:dyDescent="0.2"/>
    <row r="138" spans="1:47" ht="15" customHeight="1" x14ac:dyDescent="0.2">
      <c r="J138" s="29"/>
      <c r="K138" s="30"/>
      <c r="L138" s="30"/>
      <c r="M138" s="30"/>
      <c r="N138" s="30"/>
    </row>
  </sheetData>
  <sheetProtection sheet="1" objects="1" scenarios="1" selectLockedCells="1" selectUnlockedCells="1"/>
  <mergeCells count="265">
    <mergeCell ref="O2:W2"/>
    <mergeCell ref="X2:AG2"/>
    <mergeCell ref="AO2:AV2"/>
    <mergeCell ref="A135:D135"/>
    <mergeCell ref="I135:J135"/>
    <mergeCell ref="A101:D101"/>
    <mergeCell ref="I101:J101"/>
    <mergeCell ref="A102:D102"/>
    <mergeCell ref="I102:J102"/>
    <mergeCell ref="A103:D103"/>
    <mergeCell ref="I103:J103"/>
    <mergeCell ref="X3:AG3"/>
    <mergeCell ref="AO3:AV3"/>
    <mergeCell ref="A99:D99"/>
    <mergeCell ref="I99:J99"/>
    <mergeCell ref="A100:D100"/>
    <mergeCell ref="I100:J100"/>
    <mergeCell ref="A133:D133"/>
    <mergeCell ref="I133:J133"/>
    <mergeCell ref="A134:D134"/>
    <mergeCell ref="I134:J134"/>
    <mergeCell ref="O3:W3"/>
    <mergeCell ref="A104:D104"/>
    <mergeCell ref="I104:J104"/>
    <mergeCell ref="A130:D130"/>
    <mergeCell ref="I130:J130"/>
    <mergeCell ref="A131:D131"/>
    <mergeCell ref="I131:J131"/>
    <mergeCell ref="A132:D132"/>
    <mergeCell ref="I132:J132"/>
    <mergeCell ref="A127:D127"/>
    <mergeCell ref="I127:J127"/>
    <mergeCell ref="A128:D128"/>
    <mergeCell ref="I128:J128"/>
    <mergeCell ref="A129:D129"/>
    <mergeCell ref="I129:J129"/>
    <mergeCell ref="A124:D124"/>
    <mergeCell ref="I124:J124"/>
    <mergeCell ref="A125:D125"/>
    <mergeCell ref="I125:J125"/>
    <mergeCell ref="A126:D126"/>
    <mergeCell ref="I126:J126"/>
    <mergeCell ref="A121:D121"/>
    <mergeCell ref="I121:J121"/>
    <mergeCell ref="A122:D122"/>
    <mergeCell ref="I122:J122"/>
    <mergeCell ref="A123:D123"/>
    <mergeCell ref="I123:J123"/>
    <mergeCell ref="A118:D118"/>
    <mergeCell ref="I118:J118"/>
    <mergeCell ref="A119:D119"/>
    <mergeCell ref="I119:J119"/>
    <mergeCell ref="A120:D120"/>
    <mergeCell ref="I120:J120"/>
    <mergeCell ref="A115:D115"/>
    <mergeCell ref="I115:J115"/>
    <mergeCell ref="A116:D116"/>
    <mergeCell ref="I116:J116"/>
    <mergeCell ref="A117:D117"/>
    <mergeCell ref="I117:J117"/>
    <mergeCell ref="A112:D112"/>
    <mergeCell ref="I112:J112"/>
    <mergeCell ref="A113:D113"/>
    <mergeCell ref="I113:J113"/>
    <mergeCell ref="A114:D114"/>
    <mergeCell ref="I114:J114"/>
    <mergeCell ref="A109:D109"/>
    <mergeCell ref="I109:J109"/>
    <mergeCell ref="A110:D110"/>
    <mergeCell ref="I110:J110"/>
    <mergeCell ref="A111:D111"/>
    <mergeCell ref="I111:J111"/>
    <mergeCell ref="A106:D106"/>
    <mergeCell ref="I106:J106"/>
    <mergeCell ref="A107:D107"/>
    <mergeCell ref="I107:J107"/>
    <mergeCell ref="A108:D108"/>
    <mergeCell ref="I108:J108"/>
    <mergeCell ref="A96:D96"/>
    <mergeCell ref="I96:J96"/>
    <mergeCell ref="A97:D97"/>
    <mergeCell ref="I97:J97"/>
    <mergeCell ref="A98:D98"/>
    <mergeCell ref="I98:J98"/>
    <mergeCell ref="A93:D93"/>
    <mergeCell ref="I93:J93"/>
    <mergeCell ref="A94:D94"/>
    <mergeCell ref="I94:J94"/>
    <mergeCell ref="A95:D95"/>
    <mergeCell ref="I95:J95"/>
    <mergeCell ref="A90:D90"/>
    <mergeCell ref="I90:J90"/>
    <mergeCell ref="A91:D91"/>
    <mergeCell ref="I91:J91"/>
    <mergeCell ref="A92:D92"/>
    <mergeCell ref="I92:J92"/>
    <mergeCell ref="A87:D87"/>
    <mergeCell ref="I87:J87"/>
    <mergeCell ref="A88:D88"/>
    <mergeCell ref="I88:J88"/>
    <mergeCell ref="A89:D89"/>
    <mergeCell ref="I89:J89"/>
    <mergeCell ref="A84:D84"/>
    <mergeCell ref="I84:J84"/>
    <mergeCell ref="A85:D85"/>
    <mergeCell ref="I85:J85"/>
    <mergeCell ref="A86:D86"/>
    <mergeCell ref="I86:J86"/>
    <mergeCell ref="A81:D81"/>
    <mergeCell ref="I81:J81"/>
    <mergeCell ref="A82:D82"/>
    <mergeCell ref="I82:J82"/>
    <mergeCell ref="A83:D83"/>
    <mergeCell ref="I83:J83"/>
    <mergeCell ref="A78:D78"/>
    <mergeCell ref="I78:J78"/>
    <mergeCell ref="A79:D79"/>
    <mergeCell ref="I79:J79"/>
    <mergeCell ref="A80:D80"/>
    <mergeCell ref="I80:J80"/>
    <mergeCell ref="A75:D75"/>
    <mergeCell ref="I75:J75"/>
    <mergeCell ref="A76:D76"/>
    <mergeCell ref="I76:J76"/>
    <mergeCell ref="A77:D77"/>
    <mergeCell ref="I77:J77"/>
    <mergeCell ref="A72:D72"/>
    <mergeCell ref="I72:J72"/>
    <mergeCell ref="A73:D73"/>
    <mergeCell ref="I73:J73"/>
    <mergeCell ref="A74:D74"/>
    <mergeCell ref="I74:J74"/>
    <mergeCell ref="A69:D69"/>
    <mergeCell ref="I69:J69"/>
    <mergeCell ref="A70:D70"/>
    <mergeCell ref="I70:J70"/>
    <mergeCell ref="A71:D71"/>
    <mergeCell ref="I71:J71"/>
    <mergeCell ref="A66:D66"/>
    <mergeCell ref="I66:J66"/>
    <mergeCell ref="A67:D67"/>
    <mergeCell ref="I67:J67"/>
    <mergeCell ref="A68:D68"/>
    <mergeCell ref="I68:J68"/>
    <mergeCell ref="A63:D63"/>
    <mergeCell ref="I63:J63"/>
    <mergeCell ref="A64:D64"/>
    <mergeCell ref="I64:J64"/>
    <mergeCell ref="A65:D65"/>
    <mergeCell ref="I65:J65"/>
    <mergeCell ref="A60:D60"/>
    <mergeCell ref="I60:J60"/>
    <mergeCell ref="A61:D61"/>
    <mergeCell ref="I61:J61"/>
    <mergeCell ref="A62:D62"/>
    <mergeCell ref="I62:J62"/>
    <mergeCell ref="A57:D57"/>
    <mergeCell ref="I57:J57"/>
    <mergeCell ref="A58:D58"/>
    <mergeCell ref="I58:J58"/>
    <mergeCell ref="A59:D59"/>
    <mergeCell ref="I59:J59"/>
    <mergeCell ref="A54:D54"/>
    <mergeCell ref="I54:J54"/>
    <mergeCell ref="A55:D55"/>
    <mergeCell ref="I55:J55"/>
    <mergeCell ref="A56:D56"/>
    <mergeCell ref="I56:J56"/>
    <mergeCell ref="A51:D51"/>
    <mergeCell ref="I51:J51"/>
    <mergeCell ref="A52:D52"/>
    <mergeCell ref="I52:J52"/>
    <mergeCell ref="A53:D53"/>
    <mergeCell ref="I53:J53"/>
    <mergeCell ref="A48:D48"/>
    <mergeCell ref="I48:J48"/>
    <mergeCell ref="A49:D49"/>
    <mergeCell ref="I49:J49"/>
    <mergeCell ref="A50:D50"/>
    <mergeCell ref="I50:J50"/>
    <mergeCell ref="A45:D45"/>
    <mergeCell ref="I45:J45"/>
    <mergeCell ref="A46:D46"/>
    <mergeCell ref="I46:J46"/>
    <mergeCell ref="A47:D47"/>
    <mergeCell ref="I47:J47"/>
    <mergeCell ref="A42:D42"/>
    <mergeCell ref="I42:J42"/>
    <mergeCell ref="A43:D43"/>
    <mergeCell ref="I43:J43"/>
    <mergeCell ref="A44:D44"/>
    <mergeCell ref="I44:J44"/>
    <mergeCell ref="A39:D39"/>
    <mergeCell ref="I39:J39"/>
    <mergeCell ref="A40:D40"/>
    <mergeCell ref="I40:J40"/>
    <mergeCell ref="A41:D41"/>
    <mergeCell ref="I41:J41"/>
    <mergeCell ref="A36:D36"/>
    <mergeCell ref="I36:J36"/>
    <mergeCell ref="A37:D37"/>
    <mergeCell ref="I37:J37"/>
    <mergeCell ref="A38:D38"/>
    <mergeCell ref="I38:J38"/>
    <mergeCell ref="A33:D33"/>
    <mergeCell ref="I33:J33"/>
    <mergeCell ref="A34:D34"/>
    <mergeCell ref="I34:J34"/>
    <mergeCell ref="A35:D35"/>
    <mergeCell ref="I35:J35"/>
    <mergeCell ref="A30:D30"/>
    <mergeCell ref="I30:J30"/>
    <mergeCell ref="A31:D31"/>
    <mergeCell ref="I31:J31"/>
    <mergeCell ref="A32:D32"/>
    <mergeCell ref="I32:J32"/>
    <mergeCell ref="A27:D27"/>
    <mergeCell ref="I27:J27"/>
    <mergeCell ref="A28:D28"/>
    <mergeCell ref="I28:J28"/>
    <mergeCell ref="A29:D29"/>
    <mergeCell ref="I29:J29"/>
    <mergeCell ref="A24:D24"/>
    <mergeCell ref="I24:J24"/>
    <mergeCell ref="A25:D25"/>
    <mergeCell ref="I25:J25"/>
    <mergeCell ref="A26:D26"/>
    <mergeCell ref="I26:J26"/>
    <mergeCell ref="A21:D21"/>
    <mergeCell ref="I21:J21"/>
    <mergeCell ref="A22:D22"/>
    <mergeCell ref="I22:J22"/>
    <mergeCell ref="A23:D23"/>
    <mergeCell ref="I23:J23"/>
    <mergeCell ref="A18:D18"/>
    <mergeCell ref="I18:J18"/>
    <mergeCell ref="A19:D19"/>
    <mergeCell ref="I19:J19"/>
    <mergeCell ref="A20:D20"/>
    <mergeCell ref="I20:J20"/>
    <mergeCell ref="A15:D15"/>
    <mergeCell ref="I15:J15"/>
    <mergeCell ref="A16:D16"/>
    <mergeCell ref="I16:J16"/>
    <mergeCell ref="A17:D17"/>
    <mergeCell ref="I17:J17"/>
    <mergeCell ref="A12:D12"/>
    <mergeCell ref="I12:J12"/>
    <mergeCell ref="A13:D13"/>
    <mergeCell ref="I13:J13"/>
    <mergeCell ref="A14:D14"/>
    <mergeCell ref="I14:J14"/>
    <mergeCell ref="A9:D9"/>
    <mergeCell ref="I9:J9"/>
    <mergeCell ref="A10:D10"/>
    <mergeCell ref="I10:J10"/>
    <mergeCell ref="A11:D11"/>
    <mergeCell ref="I11:J11"/>
    <mergeCell ref="D2:H2"/>
    <mergeCell ref="I2:L2"/>
    <mergeCell ref="A5:D5"/>
    <mergeCell ref="I5:J5"/>
    <mergeCell ref="L5:M5"/>
    <mergeCell ref="A8:D8"/>
    <mergeCell ref="I8:J8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8A069-9E2F-4814-B9B7-C2E171E20180}">
  <sheetPr codeName="Sheet4">
    <outlinePr summaryBelow="0" summaryRight="0"/>
    <pageSetUpPr autoPageBreaks="0"/>
  </sheetPr>
  <dimension ref="A1:AV138"/>
  <sheetViews>
    <sheetView workbookViewId="0">
      <pane ySplit="2" topLeftCell="A3" activePane="bottomLeft" state="frozenSplit"/>
      <selection pane="bottomLeft" activeCell="AO3" sqref="AO3:AV3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6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2" hidden="1" customWidth="1"/>
    <col min="16" max="16" width="20.7109375" style="4" hidden="1" customWidth="1"/>
    <col min="17" max="17" width="12.7109375" style="4" hidden="1" customWidth="1"/>
    <col min="18" max="18" width="10.7109375" style="4" hidden="1" customWidth="1"/>
    <col min="19" max="19" width="16.7109375" style="4" hidden="1" customWidth="1"/>
    <col min="20" max="20" width="25.7109375" style="5" hidden="1" customWidth="1"/>
    <col min="21" max="22" width="15.7109375" style="4" hidden="1" customWidth="1"/>
    <col min="23" max="23" width="20.7109375" style="4" hidden="1" customWidth="1"/>
    <col min="24" max="24" width="18.7109375" style="2" hidden="1" customWidth="1"/>
    <col min="25" max="27" width="20.7109375" style="4" hidden="1" customWidth="1"/>
    <col min="28" max="28" width="16.7109375" style="4" hidden="1" customWidth="1"/>
    <col min="29" max="29" width="25.7109375" style="5" hidden="1" customWidth="1"/>
    <col min="30" max="30" width="20.7109375" style="4" hidden="1" customWidth="1"/>
    <col min="31" max="31" width="2.7109375" style="4" hidden="1" customWidth="1"/>
    <col min="32" max="32" width="20.7109375" style="4" hidden="1" customWidth="1"/>
    <col min="33" max="33" width="15.7109375" style="4" hidden="1" customWidth="1"/>
    <col min="34" max="40" width="0" style="3" hidden="1" customWidth="1"/>
    <col min="41" max="41" width="18.7109375" style="2" customWidth="1"/>
    <col min="42" max="42" width="20.7109375" style="4" customWidth="1"/>
    <col min="43" max="43" width="12.7109375" style="4" customWidth="1"/>
    <col min="44" max="44" width="10.7109375" style="4" customWidth="1"/>
    <col min="45" max="45" width="16.7109375" style="4" customWidth="1"/>
    <col min="46" max="46" width="25.7109375" style="4" customWidth="1"/>
    <col min="47" max="47" width="15.7109375" style="4" customWidth="1"/>
    <col min="48" max="48" width="20.7109375" style="4" customWidth="1"/>
    <col min="49" max="16384" width="6.85546875" style="3"/>
  </cols>
  <sheetData>
    <row r="1" spans="1:48" s="12" customFormat="1" ht="6.75" customHeight="1" x14ac:dyDescent="0.2">
      <c r="O1" s="31"/>
      <c r="P1" s="32"/>
      <c r="Q1" s="32"/>
      <c r="R1" s="32"/>
      <c r="S1" s="32"/>
      <c r="T1" s="33"/>
      <c r="U1" s="32"/>
      <c r="V1" s="32"/>
      <c r="W1" s="32"/>
      <c r="X1" s="31"/>
      <c r="Y1" s="32"/>
      <c r="Z1" s="32"/>
      <c r="AA1" s="32"/>
      <c r="AB1" s="32"/>
      <c r="AC1" s="33"/>
      <c r="AD1" s="32"/>
      <c r="AE1" s="32"/>
      <c r="AF1" s="32"/>
      <c r="AG1" s="32"/>
      <c r="AO1" s="31"/>
      <c r="AP1" s="32"/>
      <c r="AQ1" s="32"/>
      <c r="AR1" s="32"/>
      <c r="AS1" s="32"/>
      <c r="AT1" s="32"/>
      <c r="AU1" s="32"/>
      <c r="AV1" s="32"/>
    </row>
    <row r="2" spans="1:48" s="12" customFormat="1" ht="24" customHeight="1" x14ac:dyDescent="0.2">
      <c r="D2" s="13" t="s">
        <v>0</v>
      </c>
      <c r="E2" s="13"/>
      <c r="F2" s="13"/>
      <c r="G2" s="13"/>
      <c r="H2" s="13"/>
      <c r="I2" s="14" t="s">
        <v>70</v>
      </c>
      <c r="J2" s="14"/>
      <c r="K2" s="14"/>
      <c r="L2" s="14"/>
      <c r="O2" s="54" t="str">
        <f ca="1">"Outbound: "&amp;SUMPRODUCT(SUBTOTAL(103,OFFSET($E$6,ROW($E$6:$E$135)-ROW($E$6),0,1)),--($U$6:$U$135="OK"),--($E$6:$E$135&lt;&gt;""))&amp;"/"&amp;SUMPRODUCT(SUBTOTAL(103,OFFSET($E$6,ROW($E$6:$E$135)-ROW($E$6),0,1)),--($E$6:$E$135&lt;&gt;""))&amp;" • "&amp;TEXT(IFERROR(SUMPRODUCT(SUBTOTAL(103,OFFSET($E$6,ROW($E$6:$E$135)-ROW($E$6),0,1)),--((($V$6:$V$135="On-Time")+($V$6:$V$135="Early"))&gt;0),--($E$6:$E$135&lt;&gt;""))/SUMPRODUCT(SUBTOTAL(103,OFFSET($E$6,ROW($E$6:$E$135)-ROW($E$6),0,1)),--($E$6:$E$135&lt;&gt;"")),0),"0.0%")&amp;" On Time"</f>
        <v>Outbound: 1/127 • 0.8% On Time</v>
      </c>
      <c r="P2" s="54"/>
      <c r="Q2" s="54"/>
      <c r="R2" s="54"/>
      <c r="S2" s="54"/>
      <c r="T2" s="54"/>
      <c r="U2" s="54"/>
      <c r="V2" s="54"/>
      <c r="W2" s="54"/>
      <c r="X2" s="55" t="str">
        <f ca="1">"Inbound: "&amp;SUMPRODUCT(SUBTOTAL(103,OFFSET($E$6,ROW($E$6:$E$135)-ROW($E$6),0,1)),--($AD$6:$AD$135="Received"),--($E$6:$E$135&lt;&gt;""))&amp;"/"&amp;SUMPRODUCT(SUBTOTAL(103,OFFSET($E$6,ROW($E$6:$E$135)-ROW($E$6),0,1)),--($E$6:$E$135&lt;&gt;""))&amp;" • "&amp;TEXT(IFERROR(SUMPRODUCT(SUBTOTAL(103,OFFSET($E$6,ROW($E$6:$E$135)-ROW($E$6),0,1)),--($AD$6:$AD$135="Received"),--($E$6:$E$135&lt;&gt;""))/SUMPRODUCT(SUBTOTAL(103,OFFSET($E$6,ROW($E$6:$E$135)-ROW($E$6),0,1)),--($E$6:$E$135&lt;&gt;"")),0),"0.0%")&amp;" Complete"</f>
        <v>Inbound: 0/127 • 0.0% Complete</v>
      </c>
      <c r="Y2" s="55"/>
      <c r="Z2" s="55"/>
      <c r="AA2" s="55"/>
      <c r="AB2" s="55"/>
      <c r="AC2" s="55"/>
      <c r="AD2" s="55"/>
      <c r="AE2" s="55"/>
      <c r="AF2" s="55"/>
      <c r="AG2" s="55"/>
      <c r="AO2" s="56" t="str">
        <f ca="1">"Staged: "&amp;SUMPRODUCT(SUBTOTAL(103,OFFSET($E$6,ROW($E$6:$E$135)-ROW($E$6),0,1)),--($AU$6:$AU$135="OK"),--($E$6:$E$135&lt;&gt;""))&amp;"/"&amp;SUMPRODUCT(SUBTOTAL(103,OFFSET($E$6,ROW($E$6:$E$135)-ROW($E$6),0,1)),--($E$6:$E$135&lt;&gt;""))&amp;" • "&amp;TEXT(IFERROR(SUMPRODUCT(SUBTOTAL(103,OFFSET($E$6,ROW($E$6:$E$135)-ROW($E$6),0,1)),--($AU$6:$AU$135="OK"),--($E$6:$E$135&lt;&gt;""))/SUMPRODUCT(SUBTOTAL(103,OFFSET($E$6,ROW($E$6:$E$135)-ROW($E$6),0,1)),--($E$6:$E$135&lt;&gt;"")),0),"0.0%")&amp;" Complete"</f>
        <v>Staged: 24/127 • 18.9% Complete</v>
      </c>
      <c r="AP2" s="56"/>
      <c r="AQ2" s="56"/>
      <c r="AR2" s="56"/>
      <c r="AS2" s="56"/>
      <c r="AT2" s="56"/>
      <c r="AU2" s="56"/>
      <c r="AV2" s="56"/>
    </row>
    <row r="3" spans="1:48" ht="85.5" customHeight="1" x14ac:dyDescent="0.2">
      <c r="O3" s="9" t="s">
        <v>36</v>
      </c>
      <c r="P3" s="10"/>
      <c r="Q3" s="10"/>
      <c r="R3" s="10"/>
      <c r="S3" s="10"/>
      <c r="T3" s="10"/>
      <c r="U3" s="10"/>
      <c r="V3" s="10"/>
      <c r="W3" s="10"/>
      <c r="X3" s="9" t="s">
        <v>38</v>
      </c>
      <c r="Y3" s="10"/>
      <c r="Z3" s="10"/>
      <c r="AA3" s="10"/>
      <c r="AB3" s="10"/>
      <c r="AC3" s="10"/>
      <c r="AD3" s="10"/>
      <c r="AE3" s="10"/>
      <c r="AF3" s="10"/>
      <c r="AG3" s="10"/>
      <c r="AO3" s="9" t="s">
        <v>37</v>
      </c>
      <c r="AP3" s="10"/>
      <c r="AQ3" s="10"/>
      <c r="AR3" s="10"/>
      <c r="AS3" s="10"/>
      <c r="AT3" s="10"/>
      <c r="AU3" s="10"/>
      <c r="AV3" s="10"/>
    </row>
    <row r="4" spans="1:48" ht="20.100000000000001" customHeight="1" x14ac:dyDescent="0.2">
      <c r="O4" s="6" t="s">
        <v>9</v>
      </c>
      <c r="P4" s="11"/>
      <c r="X4" s="6" t="s">
        <v>9</v>
      </c>
      <c r="Y4" s="11"/>
      <c r="AO4" s="6" t="s">
        <v>9</v>
      </c>
      <c r="AP4" s="11"/>
      <c r="AT4" s="5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64</v>
      </c>
      <c r="M5" s="18"/>
      <c r="P5" s="7" t="s">
        <v>10</v>
      </c>
      <c r="Q5" s="7" t="s">
        <v>2</v>
      </c>
      <c r="R5" s="7" t="s">
        <v>3</v>
      </c>
      <c r="S5" s="7" t="s">
        <v>11</v>
      </c>
      <c r="T5" s="8" t="s">
        <v>12</v>
      </c>
      <c r="U5" s="7" t="s">
        <v>13</v>
      </c>
      <c r="V5" s="7" t="s">
        <v>14</v>
      </c>
      <c r="W5" s="7" t="s">
        <v>15</v>
      </c>
      <c r="Y5" s="7" t="s">
        <v>16</v>
      </c>
      <c r="Z5" s="7" t="s">
        <v>17</v>
      </c>
      <c r="AA5" s="7" t="s">
        <v>18</v>
      </c>
      <c r="AB5" s="7" t="s">
        <v>19</v>
      </c>
      <c r="AC5" s="8" t="s">
        <v>20</v>
      </c>
      <c r="AD5" s="7" t="s">
        <v>21</v>
      </c>
      <c r="AE5" s="7"/>
      <c r="AF5" s="7" t="s">
        <v>15</v>
      </c>
      <c r="AG5" s="7" t="s">
        <v>22</v>
      </c>
      <c r="AP5" s="7" t="s">
        <v>10</v>
      </c>
      <c r="AQ5" s="7" t="s">
        <v>2</v>
      </c>
      <c r="AR5" s="7" t="s">
        <v>3</v>
      </c>
      <c r="AS5" s="7" t="s">
        <v>11</v>
      </c>
      <c r="AT5" s="7" t="s">
        <v>12</v>
      </c>
      <c r="AU5" s="7" t="s">
        <v>13</v>
      </c>
      <c r="AV5" s="7" t="s">
        <v>15</v>
      </c>
    </row>
    <row r="6" spans="1:48" ht="8.25" customHeight="1" x14ac:dyDescent="0.2"/>
    <row r="7" spans="1:48" ht="13.5" customHeight="1" x14ac:dyDescent="0.2">
      <c r="A7" s="19" t="s">
        <v>7</v>
      </c>
    </row>
    <row r="8" spans="1:48" ht="13.5" customHeight="1" x14ac:dyDescent="0.2">
      <c r="A8" s="20" t="s">
        <v>71</v>
      </c>
      <c r="B8" s="20"/>
      <c r="C8" s="20"/>
      <c r="D8" s="20"/>
      <c r="E8" s="21">
        <v>231377</v>
      </c>
      <c r="F8" s="22">
        <v>1</v>
      </c>
      <c r="G8" s="22">
        <v>1</v>
      </c>
      <c r="H8" s="23" t="s">
        <v>72</v>
      </c>
      <c r="I8" s="20" t="s">
        <v>73</v>
      </c>
      <c r="J8" s="20"/>
    </row>
    <row r="9" spans="1:48" ht="13.5" customHeight="1" x14ac:dyDescent="0.2">
      <c r="A9" s="20" t="s">
        <v>71</v>
      </c>
      <c r="B9" s="20"/>
      <c r="C9" s="20"/>
      <c r="D9" s="20"/>
      <c r="E9" s="21">
        <v>231377</v>
      </c>
      <c r="F9" s="22">
        <v>2</v>
      </c>
      <c r="G9" s="22">
        <v>1</v>
      </c>
      <c r="H9" s="23" t="s">
        <v>74</v>
      </c>
      <c r="I9" s="20" t="s">
        <v>73</v>
      </c>
      <c r="J9" s="20"/>
    </row>
    <row r="10" spans="1:48" ht="13.5" customHeight="1" x14ac:dyDescent="0.2">
      <c r="A10" s="20" t="s">
        <v>75</v>
      </c>
      <c r="B10" s="20"/>
      <c r="C10" s="20"/>
      <c r="D10" s="20"/>
      <c r="E10" s="21">
        <v>231378</v>
      </c>
      <c r="F10" s="22">
        <v>1</v>
      </c>
      <c r="G10" s="22">
        <v>2</v>
      </c>
      <c r="H10" s="23" t="s">
        <v>72</v>
      </c>
      <c r="I10" s="20" t="s">
        <v>73</v>
      </c>
      <c r="J10" s="20"/>
    </row>
    <row r="11" spans="1:48" ht="13.5" customHeight="1" x14ac:dyDescent="0.2">
      <c r="A11" s="20" t="s">
        <v>75</v>
      </c>
      <c r="B11" s="20"/>
      <c r="C11" s="20"/>
      <c r="D11" s="20"/>
      <c r="E11" s="21">
        <v>231378</v>
      </c>
      <c r="F11" s="22">
        <v>2</v>
      </c>
      <c r="G11" s="22">
        <v>1</v>
      </c>
      <c r="H11" s="23" t="s">
        <v>74</v>
      </c>
      <c r="I11" s="20" t="s">
        <v>73</v>
      </c>
      <c r="J11" s="20"/>
    </row>
    <row r="12" spans="1:48" ht="13.5" customHeight="1" x14ac:dyDescent="0.2">
      <c r="A12" s="20" t="s">
        <v>76</v>
      </c>
      <c r="B12" s="20"/>
      <c r="C12" s="20"/>
      <c r="D12" s="20"/>
      <c r="E12" s="21">
        <v>231380</v>
      </c>
      <c r="F12" s="22">
        <v>1</v>
      </c>
      <c r="G12" s="22">
        <v>1</v>
      </c>
      <c r="H12" s="23" t="s">
        <v>51</v>
      </c>
      <c r="I12" s="20" t="s">
        <v>52</v>
      </c>
      <c r="J12" s="20"/>
    </row>
    <row r="13" spans="1:48" ht="13.5" customHeight="1" x14ac:dyDescent="0.2">
      <c r="A13" s="20" t="s">
        <v>76</v>
      </c>
      <c r="B13" s="20"/>
      <c r="C13" s="20"/>
      <c r="D13" s="20"/>
      <c r="E13" s="21">
        <v>231380</v>
      </c>
      <c r="F13" s="22">
        <v>2</v>
      </c>
      <c r="G13" s="22">
        <v>1</v>
      </c>
      <c r="H13" s="23" t="s">
        <v>77</v>
      </c>
      <c r="I13" s="20" t="s">
        <v>52</v>
      </c>
      <c r="J13" s="20"/>
    </row>
    <row r="14" spans="1:48" ht="13.5" customHeight="1" x14ac:dyDescent="0.2">
      <c r="A14" s="20" t="s">
        <v>76</v>
      </c>
      <c r="B14" s="20"/>
      <c r="C14" s="20"/>
      <c r="D14" s="20"/>
      <c r="E14" s="21">
        <v>231380</v>
      </c>
      <c r="F14" s="22">
        <v>3</v>
      </c>
      <c r="G14" s="22">
        <v>1</v>
      </c>
      <c r="H14" s="23" t="s">
        <v>78</v>
      </c>
      <c r="I14" s="20" t="s">
        <v>52</v>
      </c>
      <c r="J14" s="20"/>
    </row>
    <row r="15" spans="1:48" ht="13.5" customHeight="1" x14ac:dyDescent="0.2">
      <c r="A15" s="20" t="s">
        <v>76</v>
      </c>
      <c r="B15" s="20"/>
      <c r="C15" s="20"/>
      <c r="D15" s="20"/>
      <c r="E15" s="21">
        <v>231380</v>
      </c>
      <c r="F15" s="22">
        <v>4</v>
      </c>
      <c r="G15" s="22">
        <v>1</v>
      </c>
      <c r="H15" s="23" t="s">
        <v>79</v>
      </c>
      <c r="I15" s="20" t="s">
        <v>52</v>
      </c>
      <c r="J15" s="20"/>
    </row>
    <row r="16" spans="1:48" ht="13.5" customHeight="1" x14ac:dyDescent="0.2">
      <c r="A16" s="20" t="s">
        <v>76</v>
      </c>
      <c r="B16" s="20"/>
      <c r="C16" s="20"/>
      <c r="D16" s="20"/>
      <c r="E16" s="21">
        <v>231380</v>
      </c>
      <c r="F16" s="22">
        <v>5</v>
      </c>
      <c r="G16" s="22">
        <v>1</v>
      </c>
      <c r="H16" s="23" t="s">
        <v>50</v>
      </c>
      <c r="I16" s="20" t="s">
        <v>52</v>
      </c>
      <c r="J16" s="20"/>
    </row>
    <row r="17" spans="1:10" ht="13.5" customHeight="1" x14ac:dyDescent="0.2">
      <c r="A17" s="20" t="s">
        <v>80</v>
      </c>
      <c r="B17" s="20"/>
      <c r="C17" s="20"/>
      <c r="D17" s="20"/>
      <c r="E17" s="21">
        <v>231381</v>
      </c>
      <c r="F17" s="22">
        <v>1</v>
      </c>
      <c r="G17" s="22">
        <v>1</v>
      </c>
      <c r="H17" s="23" t="s">
        <v>48</v>
      </c>
      <c r="I17" s="20" t="s">
        <v>81</v>
      </c>
      <c r="J17" s="20"/>
    </row>
    <row r="18" spans="1:10" ht="13.5" customHeight="1" x14ac:dyDescent="0.2">
      <c r="A18" s="20" t="s">
        <v>80</v>
      </c>
      <c r="B18" s="20"/>
      <c r="C18" s="20"/>
      <c r="D18" s="20"/>
      <c r="E18" s="21">
        <v>231381</v>
      </c>
      <c r="F18" s="22">
        <v>2</v>
      </c>
      <c r="G18" s="22">
        <v>1</v>
      </c>
      <c r="H18" s="23" t="s">
        <v>82</v>
      </c>
      <c r="I18" s="20" t="s">
        <v>81</v>
      </c>
      <c r="J18" s="20"/>
    </row>
    <row r="19" spans="1:10" ht="13.5" customHeight="1" x14ac:dyDescent="0.2">
      <c r="A19" s="20" t="s">
        <v>80</v>
      </c>
      <c r="B19" s="20"/>
      <c r="C19" s="20"/>
      <c r="D19" s="20"/>
      <c r="E19" s="21">
        <v>231381</v>
      </c>
      <c r="F19" s="22">
        <v>3</v>
      </c>
      <c r="G19" s="22">
        <v>1</v>
      </c>
      <c r="H19" s="23" t="s">
        <v>83</v>
      </c>
      <c r="I19" s="20" t="s">
        <v>81</v>
      </c>
      <c r="J19" s="20"/>
    </row>
    <row r="20" spans="1:10" ht="13.5" customHeight="1" x14ac:dyDescent="0.2">
      <c r="A20" s="20" t="s">
        <v>80</v>
      </c>
      <c r="B20" s="20"/>
      <c r="C20" s="20"/>
      <c r="D20" s="20"/>
      <c r="E20" s="21">
        <v>231381</v>
      </c>
      <c r="F20" s="22">
        <v>4</v>
      </c>
      <c r="G20" s="22">
        <v>2</v>
      </c>
      <c r="H20" s="23" t="s">
        <v>84</v>
      </c>
      <c r="I20" s="20" t="s">
        <v>81</v>
      </c>
      <c r="J20" s="20"/>
    </row>
    <row r="21" spans="1:10" ht="13.5" customHeight="1" x14ac:dyDescent="0.2">
      <c r="A21" s="20" t="s">
        <v>85</v>
      </c>
      <c r="B21" s="20"/>
      <c r="C21" s="20"/>
      <c r="D21" s="20"/>
      <c r="E21" s="21">
        <v>231382</v>
      </c>
      <c r="F21" s="22">
        <v>1</v>
      </c>
      <c r="G21" s="22">
        <v>1</v>
      </c>
      <c r="H21" s="23" t="s">
        <v>86</v>
      </c>
      <c r="I21" s="20" t="s">
        <v>87</v>
      </c>
      <c r="J21" s="20"/>
    </row>
    <row r="22" spans="1:10" ht="13.5" customHeight="1" x14ac:dyDescent="0.2">
      <c r="A22" s="20" t="s">
        <v>85</v>
      </c>
      <c r="B22" s="20"/>
      <c r="C22" s="20"/>
      <c r="D22" s="20"/>
      <c r="E22" s="21">
        <v>231382</v>
      </c>
      <c r="F22" s="22">
        <v>2</v>
      </c>
      <c r="G22" s="22">
        <v>1</v>
      </c>
      <c r="H22" s="23" t="s">
        <v>88</v>
      </c>
      <c r="I22" s="20" t="s">
        <v>87</v>
      </c>
      <c r="J22" s="20"/>
    </row>
    <row r="23" spans="1:10" ht="13.5" customHeight="1" x14ac:dyDescent="0.2">
      <c r="A23" s="20" t="s">
        <v>85</v>
      </c>
      <c r="B23" s="20"/>
      <c r="C23" s="20"/>
      <c r="D23" s="20"/>
      <c r="E23" s="21">
        <v>231382</v>
      </c>
      <c r="F23" s="22">
        <v>3</v>
      </c>
      <c r="G23" s="22">
        <v>1</v>
      </c>
      <c r="H23" s="23" t="s">
        <v>89</v>
      </c>
      <c r="I23" s="20" t="s">
        <v>87</v>
      </c>
      <c r="J23" s="20"/>
    </row>
    <row r="24" spans="1:10" ht="13.5" customHeight="1" x14ac:dyDescent="0.2">
      <c r="A24" s="20" t="s">
        <v>71</v>
      </c>
      <c r="B24" s="20"/>
      <c r="C24" s="20"/>
      <c r="D24" s="20"/>
      <c r="E24" s="21">
        <v>231397</v>
      </c>
      <c r="F24" s="22">
        <v>1</v>
      </c>
      <c r="G24" s="22">
        <v>1</v>
      </c>
      <c r="H24" s="23" t="s">
        <v>72</v>
      </c>
      <c r="I24" s="20" t="s">
        <v>73</v>
      </c>
      <c r="J24" s="20"/>
    </row>
    <row r="25" spans="1:10" ht="13.5" customHeight="1" x14ac:dyDescent="0.2">
      <c r="A25" s="20" t="s">
        <v>71</v>
      </c>
      <c r="B25" s="20"/>
      <c r="C25" s="20"/>
      <c r="D25" s="20"/>
      <c r="E25" s="21">
        <v>231397</v>
      </c>
      <c r="F25" s="22">
        <v>2</v>
      </c>
      <c r="G25" s="22">
        <v>1</v>
      </c>
      <c r="H25" s="23" t="s">
        <v>74</v>
      </c>
      <c r="I25" s="20" t="s">
        <v>73</v>
      </c>
      <c r="J25" s="20"/>
    </row>
    <row r="26" spans="1:10" ht="13.5" customHeight="1" x14ac:dyDescent="0.2">
      <c r="A26" s="20" t="s">
        <v>75</v>
      </c>
      <c r="B26" s="20"/>
      <c r="C26" s="20"/>
      <c r="D26" s="20"/>
      <c r="E26" s="21">
        <v>231398</v>
      </c>
      <c r="F26" s="22">
        <v>1</v>
      </c>
      <c r="G26" s="22">
        <v>2</v>
      </c>
      <c r="H26" s="23" t="s">
        <v>72</v>
      </c>
      <c r="I26" s="20" t="s">
        <v>73</v>
      </c>
      <c r="J26" s="20"/>
    </row>
    <row r="27" spans="1:10" ht="13.5" customHeight="1" x14ac:dyDescent="0.2">
      <c r="A27" s="20" t="s">
        <v>75</v>
      </c>
      <c r="B27" s="20"/>
      <c r="C27" s="20"/>
      <c r="D27" s="20"/>
      <c r="E27" s="21">
        <v>231398</v>
      </c>
      <c r="F27" s="22">
        <v>2</v>
      </c>
      <c r="G27" s="22">
        <v>1</v>
      </c>
      <c r="H27" s="23" t="s">
        <v>74</v>
      </c>
      <c r="I27" s="20" t="s">
        <v>73</v>
      </c>
      <c r="J27" s="20"/>
    </row>
    <row r="28" spans="1:10" ht="13.5" customHeight="1" x14ac:dyDescent="0.2">
      <c r="A28" s="20" t="s">
        <v>76</v>
      </c>
      <c r="B28" s="20"/>
      <c r="C28" s="20"/>
      <c r="D28" s="20"/>
      <c r="E28" s="21">
        <v>231399</v>
      </c>
      <c r="F28" s="22">
        <v>1</v>
      </c>
      <c r="G28" s="22">
        <v>1</v>
      </c>
      <c r="H28" s="23" t="s">
        <v>51</v>
      </c>
      <c r="I28" s="20" t="s">
        <v>52</v>
      </c>
      <c r="J28" s="20"/>
    </row>
    <row r="29" spans="1:10" ht="13.5" customHeight="1" x14ac:dyDescent="0.2">
      <c r="A29" s="20" t="s">
        <v>76</v>
      </c>
      <c r="B29" s="20"/>
      <c r="C29" s="20"/>
      <c r="D29" s="20"/>
      <c r="E29" s="21">
        <v>231399</v>
      </c>
      <c r="F29" s="22">
        <v>2</v>
      </c>
      <c r="G29" s="22">
        <v>1</v>
      </c>
      <c r="H29" s="23" t="s">
        <v>77</v>
      </c>
      <c r="I29" s="20" t="s">
        <v>52</v>
      </c>
      <c r="J29" s="20"/>
    </row>
    <row r="30" spans="1:10" ht="13.5" customHeight="1" x14ac:dyDescent="0.2">
      <c r="A30" s="20" t="s">
        <v>76</v>
      </c>
      <c r="B30" s="20"/>
      <c r="C30" s="20"/>
      <c r="D30" s="20"/>
      <c r="E30" s="21">
        <v>231399</v>
      </c>
      <c r="F30" s="22">
        <v>3</v>
      </c>
      <c r="G30" s="22">
        <v>1</v>
      </c>
      <c r="H30" s="23" t="s">
        <v>78</v>
      </c>
      <c r="I30" s="20" t="s">
        <v>52</v>
      </c>
      <c r="J30" s="20"/>
    </row>
    <row r="31" spans="1:10" ht="13.5" customHeight="1" x14ac:dyDescent="0.2">
      <c r="A31" s="20" t="s">
        <v>76</v>
      </c>
      <c r="B31" s="20"/>
      <c r="C31" s="20"/>
      <c r="D31" s="20"/>
      <c r="E31" s="21">
        <v>231399</v>
      </c>
      <c r="F31" s="22">
        <v>4</v>
      </c>
      <c r="G31" s="22">
        <v>1</v>
      </c>
      <c r="H31" s="23" t="s">
        <v>79</v>
      </c>
      <c r="I31" s="20" t="s">
        <v>52</v>
      </c>
      <c r="J31" s="20"/>
    </row>
    <row r="32" spans="1:10" ht="13.5" customHeight="1" x14ac:dyDescent="0.2">
      <c r="A32" s="20" t="s">
        <v>76</v>
      </c>
      <c r="B32" s="20"/>
      <c r="C32" s="20"/>
      <c r="D32" s="20"/>
      <c r="E32" s="21">
        <v>231399</v>
      </c>
      <c r="F32" s="22">
        <v>5</v>
      </c>
      <c r="G32" s="22">
        <v>1</v>
      </c>
      <c r="H32" s="23" t="s">
        <v>50</v>
      </c>
      <c r="I32" s="20" t="s">
        <v>52</v>
      </c>
      <c r="J32" s="20"/>
    </row>
    <row r="33" spans="1:10" ht="13.5" customHeight="1" x14ac:dyDescent="0.2">
      <c r="A33" s="20" t="s">
        <v>80</v>
      </c>
      <c r="B33" s="20"/>
      <c r="C33" s="20"/>
      <c r="D33" s="20"/>
      <c r="E33" s="21">
        <v>231400</v>
      </c>
      <c r="F33" s="22">
        <v>1</v>
      </c>
      <c r="G33" s="22">
        <v>1</v>
      </c>
      <c r="H33" s="23" t="s">
        <v>48</v>
      </c>
      <c r="I33" s="20" t="s">
        <v>81</v>
      </c>
      <c r="J33" s="20"/>
    </row>
    <row r="34" spans="1:10" ht="13.5" customHeight="1" x14ac:dyDescent="0.2">
      <c r="A34" s="20" t="s">
        <v>80</v>
      </c>
      <c r="B34" s="20"/>
      <c r="C34" s="20"/>
      <c r="D34" s="20"/>
      <c r="E34" s="21">
        <v>231400</v>
      </c>
      <c r="F34" s="22">
        <v>2</v>
      </c>
      <c r="G34" s="22">
        <v>1</v>
      </c>
      <c r="H34" s="23" t="s">
        <v>82</v>
      </c>
      <c r="I34" s="20" t="s">
        <v>81</v>
      </c>
      <c r="J34" s="20"/>
    </row>
    <row r="35" spans="1:10" ht="13.5" customHeight="1" x14ac:dyDescent="0.2">
      <c r="A35" s="20" t="s">
        <v>80</v>
      </c>
      <c r="B35" s="20"/>
      <c r="C35" s="20"/>
      <c r="D35" s="20"/>
      <c r="E35" s="21">
        <v>231400</v>
      </c>
      <c r="F35" s="22">
        <v>3</v>
      </c>
      <c r="G35" s="22">
        <v>1</v>
      </c>
      <c r="H35" s="23" t="s">
        <v>83</v>
      </c>
      <c r="I35" s="20" t="s">
        <v>81</v>
      </c>
      <c r="J35" s="20"/>
    </row>
    <row r="36" spans="1:10" ht="13.5" customHeight="1" x14ac:dyDescent="0.2">
      <c r="A36" s="20" t="s">
        <v>80</v>
      </c>
      <c r="B36" s="20"/>
      <c r="C36" s="20"/>
      <c r="D36" s="20"/>
      <c r="E36" s="21">
        <v>231400</v>
      </c>
      <c r="F36" s="22">
        <v>4</v>
      </c>
      <c r="G36" s="22">
        <v>2</v>
      </c>
      <c r="H36" s="23" t="s">
        <v>84</v>
      </c>
      <c r="I36" s="20" t="s">
        <v>81</v>
      </c>
      <c r="J36" s="20"/>
    </row>
    <row r="37" spans="1:10" ht="13.5" customHeight="1" x14ac:dyDescent="0.2">
      <c r="A37" s="20" t="s">
        <v>85</v>
      </c>
      <c r="B37" s="20"/>
      <c r="C37" s="20"/>
      <c r="D37" s="20"/>
      <c r="E37" s="21">
        <v>231401</v>
      </c>
      <c r="F37" s="22">
        <v>1</v>
      </c>
      <c r="G37" s="22">
        <v>1</v>
      </c>
      <c r="H37" s="23" t="s">
        <v>86</v>
      </c>
      <c r="I37" s="20" t="s">
        <v>87</v>
      </c>
      <c r="J37" s="20"/>
    </row>
    <row r="38" spans="1:10" ht="13.5" customHeight="1" x14ac:dyDescent="0.2">
      <c r="A38" s="20" t="s">
        <v>85</v>
      </c>
      <c r="B38" s="20"/>
      <c r="C38" s="20"/>
      <c r="D38" s="20"/>
      <c r="E38" s="21">
        <v>231401</v>
      </c>
      <c r="F38" s="22">
        <v>2</v>
      </c>
      <c r="G38" s="22">
        <v>1</v>
      </c>
      <c r="H38" s="23" t="s">
        <v>88</v>
      </c>
      <c r="I38" s="20" t="s">
        <v>87</v>
      </c>
      <c r="J38" s="20"/>
    </row>
    <row r="39" spans="1:10" ht="13.5" customHeight="1" x14ac:dyDescent="0.2">
      <c r="A39" s="20" t="s">
        <v>85</v>
      </c>
      <c r="B39" s="20"/>
      <c r="C39" s="20"/>
      <c r="D39" s="20"/>
      <c r="E39" s="21">
        <v>231401</v>
      </c>
      <c r="F39" s="22">
        <v>3</v>
      </c>
      <c r="G39" s="22">
        <v>1</v>
      </c>
      <c r="H39" s="23" t="s">
        <v>89</v>
      </c>
      <c r="I39" s="20" t="s">
        <v>87</v>
      </c>
      <c r="J39" s="20"/>
    </row>
    <row r="40" spans="1:10" ht="13.5" customHeight="1" x14ac:dyDescent="0.2">
      <c r="A40" s="20" t="s">
        <v>90</v>
      </c>
      <c r="B40" s="20"/>
      <c r="C40" s="20"/>
      <c r="D40" s="20"/>
      <c r="E40" s="21">
        <v>231491</v>
      </c>
      <c r="F40" s="22">
        <v>1</v>
      </c>
      <c r="G40" s="22">
        <v>1</v>
      </c>
      <c r="H40" s="23" t="s">
        <v>91</v>
      </c>
      <c r="I40" s="20" t="s">
        <v>65</v>
      </c>
      <c r="J40" s="20"/>
    </row>
    <row r="41" spans="1:10" ht="13.5" customHeight="1" x14ac:dyDescent="0.2">
      <c r="A41" s="20" t="s">
        <v>90</v>
      </c>
      <c r="B41" s="20"/>
      <c r="C41" s="20"/>
      <c r="D41" s="20"/>
      <c r="E41" s="21">
        <v>231491</v>
      </c>
      <c r="F41" s="22">
        <v>2</v>
      </c>
      <c r="G41" s="22">
        <v>1</v>
      </c>
      <c r="H41" s="23" t="s">
        <v>92</v>
      </c>
      <c r="I41" s="20" t="s">
        <v>65</v>
      </c>
      <c r="J41" s="20"/>
    </row>
    <row r="42" spans="1:10" ht="13.5" customHeight="1" x14ac:dyDescent="0.2">
      <c r="A42" s="20" t="s">
        <v>93</v>
      </c>
      <c r="B42" s="20"/>
      <c r="C42" s="20"/>
      <c r="D42" s="20"/>
      <c r="E42" s="21">
        <v>231492</v>
      </c>
      <c r="F42" s="22">
        <v>1</v>
      </c>
      <c r="G42" s="22">
        <v>1</v>
      </c>
      <c r="H42" s="23" t="s">
        <v>94</v>
      </c>
      <c r="I42" s="20" t="s">
        <v>65</v>
      </c>
      <c r="J42" s="20"/>
    </row>
    <row r="43" spans="1:10" ht="13.5" customHeight="1" x14ac:dyDescent="0.2">
      <c r="A43" s="20" t="s">
        <v>93</v>
      </c>
      <c r="B43" s="20"/>
      <c r="C43" s="20"/>
      <c r="D43" s="20"/>
      <c r="E43" s="21">
        <v>231492</v>
      </c>
      <c r="F43" s="22">
        <v>2</v>
      </c>
      <c r="G43" s="22">
        <v>1</v>
      </c>
      <c r="H43" s="23" t="s">
        <v>95</v>
      </c>
      <c r="I43" s="20" t="s">
        <v>65</v>
      </c>
      <c r="J43" s="20"/>
    </row>
    <row r="44" spans="1:10" ht="13.5" customHeight="1" x14ac:dyDescent="0.2">
      <c r="A44" s="20" t="s">
        <v>96</v>
      </c>
      <c r="B44" s="20"/>
      <c r="C44" s="20"/>
      <c r="D44" s="20"/>
      <c r="E44" s="21">
        <v>231493</v>
      </c>
      <c r="F44" s="22">
        <v>1</v>
      </c>
      <c r="G44" s="22">
        <v>1</v>
      </c>
      <c r="H44" s="23" t="s">
        <v>97</v>
      </c>
      <c r="I44" s="20" t="s">
        <v>65</v>
      </c>
      <c r="J44" s="20"/>
    </row>
    <row r="45" spans="1:10" ht="13.5" customHeight="1" x14ac:dyDescent="0.2">
      <c r="A45" s="20" t="s">
        <v>96</v>
      </c>
      <c r="B45" s="20"/>
      <c r="C45" s="20"/>
      <c r="D45" s="20"/>
      <c r="E45" s="21">
        <v>231493</v>
      </c>
      <c r="F45" s="22">
        <v>2</v>
      </c>
      <c r="G45" s="22">
        <v>1</v>
      </c>
      <c r="H45" s="23" t="s">
        <v>98</v>
      </c>
      <c r="I45" s="20" t="s">
        <v>65</v>
      </c>
      <c r="J45" s="20"/>
    </row>
    <row r="46" spans="1:10" ht="13.5" customHeight="1" x14ac:dyDescent="0.2">
      <c r="A46" s="20" t="s">
        <v>96</v>
      </c>
      <c r="B46" s="20"/>
      <c r="C46" s="20"/>
      <c r="D46" s="20"/>
      <c r="E46" s="21">
        <v>231493</v>
      </c>
      <c r="F46" s="22">
        <v>3</v>
      </c>
      <c r="G46" s="22">
        <v>1</v>
      </c>
      <c r="H46" s="23" t="s">
        <v>99</v>
      </c>
      <c r="I46" s="20" t="s">
        <v>65</v>
      </c>
      <c r="J46" s="20"/>
    </row>
    <row r="47" spans="1:10" ht="13.5" customHeight="1" x14ac:dyDescent="0.2">
      <c r="A47" s="20" t="s">
        <v>96</v>
      </c>
      <c r="B47" s="20"/>
      <c r="C47" s="20"/>
      <c r="D47" s="20"/>
      <c r="E47" s="21">
        <v>231493</v>
      </c>
      <c r="F47" s="22">
        <v>4</v>
      </c>
      <c r="G47" s="22">
        <v>1</v>
      </c>
      <c r="H47" s="23" t="s">
        <v>100</v>
      </c>
      <c r="I47" s="20" t="s">
        <v>65</v>
      </c>
      <c r="J47" s="20"/>
    </row>
    <row r="48" spans="1:10" ht="13.5" customHeight="1" x14ac:dyDescent="0.2">
      <c r="A48" s="20" t="s">
        <v>96</v>
      </c>
      <c r="B48" s="20"/>
      <c r="C48" s="20"/>
      <c r="D48" s="20"/>
      <c r="E48" s="21">
        <v>231493</v>
      </c>
      <c r="F48" s="22">
        <v>5</v>
      </c>
      <c r="G48" s="22">
        <v>1</v>
      </c>
      <c r="H48" s="23" t="s">
        <v>101</v>
      </c>
      <c r="I48" s="20" t="s">
        <v>65</v>
      </c>
      <c r="J48" s="20"/>
    </row>
    <row r="49" spans="1:10" ht="13.5" customHeight="1" x14ac:dyDescent="0.2">
      <c r="A49" s="20" t="s">
        <v>96</v>
      </c>
      <c r="B49" s="20"/>
      <c r="C49" s="20"/>
      <c r="D49" s="20"/>
      <c r="E49" s="21">
        <v>231493</v>
      </c>
      <c r="F49" s="22">
        <v>6</v>
      </c>
      <c r="G49" s="22">
        <v>1</v>
      </c>
      <c r="H49" s="23" t="s">
        <v>102</v>
      </c>
      <c r="I49" s="20" t="s">
        <v>65</v>
      </c>
      <c r="J49" s="20"/>
    </row>
    <row r="50" spans="1:10" ht="13.5" customHeight="1" x14ac:dyDescent="0.2">
      <c r="A50" s="20" t="s">
        <v>103</v>
      </c>
      <c r="B50" s="20"/>
      <c r="C50" s="20"/>
      <c r="D50" s="20"/>
      <c r="E50" s="21">
        <v>231494</v>
      </c>
      <c r="F50" s="22">
        <v>1</v>
      </c>
      <c r="G50" s="22">
        <v>1</v>
      </c>
      <c r="H50" s="23" t="s">
        <v>104</v>
      </c>
      <c r="I50" s="20" t="s">
        <v>65</v>
      </c>
      <c r="J50" s="20"/>
    </row>
    <row r="51" spans="1:10" ht="13.5" customHeight="1" x14ac:dyDescent="0.2">
      <c r="A51" s="20" t="s">
        <v>103</v>
      </c>
      <c r="B51" s="20"/>
      <c r="C51" s="20"/>
      <c r="D51" s="20"/>
      <c r="E51" s="21">
        <v>231494</v>
      </c>
      <c r="F51" s="22">
        <v>2</v>
      </c>
      <c r="G51" s="22">
        <v>1</v>
      </c>
      <c r="H51" s="23" t="s">
        <v>105</v>
      </c>
      <c r="I51" s="20" t="s">
        <v>65</v>
      </c>
      <c r="J51" s="20"/>
    </row>
    <row r="52" spans="1:10" ht="13.5" customHeight="1" x14ac:dyDescent="0.2">
      <c r="A52" s="20" t="s">
        <v>103</v>
      </c>
      <c r="B52" s="20"/>
      <c r="C52" s="20"/>
      <c r="D52" s="20"/>
      <c r="E52" s="21">
        <v>231494</v>
      </c>
      <c r="F52" s="22">
        <v>3</v>
      </c>
      <c r="G52" s="22">
        <v>1</v>
      </c>
      <c r="H52" s="23" t="s">
        <v>106</v>
      </c>
      <c r="I52" s="20" t="s">
        <v>65</v>
      </c>
      <c r="J52" s="20"/>
    </row>
    <row r="53" spans="1:10" ht="13.5" customHeight="1" x14ac:dyDescent="0.2">
      <c r="A53" s="20" t="s">
        <v>103</v>
      </c>
      <c r="B53" s="20"/>
      <c r="C53" s="20"/>
      <c r="D53" s="20"/>
      <c r="E53" s="21">
        <v>231494</v>
      </c>
      <c r="F53" s="22">
        <v>4</v>
      </c>
      <c r="G53" s="22">
        <v>1</v>
      </c>
      <c r="H53" s="23" t="s">
        <v>107</v>
      </c>
      <c r="I53" s="20" t="s">
        <v>65</v>
      </c>
      <c r="J53" s="20"/>
    </row>
    <row r="54" spans="1:10" ht="13.5" customHeight="1" x14ac:dyDescent="0.2">
      <c r="A54" s="20" t="s">
        <v>103</v>
      </c>
      <c r="B54" s="20"/>
      <c r="C54" s="20"/>
      <c r="D54" s="20"/>
      <c r="E54" s="21">
        <v>231494</v>
      </c>
      <c r="F54" s="22">
        <v>5</v>
      </c>
      <c r="G54" s="22">
        <v>1</v>
      </c>
      <c r="H54" s="23" t="s">
        <v>107</v>
      </c>
      <c r="I54" s="20" t="s">
        <v>65</v>
      </c>
      <c r="J54" s="20"/>
    </row>
    <row r="55" spans="1:10" ht="13.5" customHeight="1" x14ac:dyDescent="0.2">
      <c r="A55" s="20" t="s">
        <v>108</v>
      </c>
      <c r="B55" s="20"/>
      <c r="C55" s="20"/>
      <c r="D55" s="20"/>
      <c r="E55" s="21">
        <v>231495</v>
      </c>
      <c r="F55" s="22">
        <v>1</v>
      </c>
      <c r="G55" s="22">
        <v>1</v>
      </c>
      <c r="H55" s="23" t="s">
        <v>94</v>
      </c>
      <c r="I55" s="20" t="s">
        <v>65</v>
      </c>
      <c r="J55" s="20"/>
    </row>
    <row r="56" spans="1:10" ht="13.5" customHeight="1" x14ac:dyDescent="0.2">
      <c r="A56" s="20" t="s">
        <v>108</v>
      </c>
      <c r="B56" s="20"/>
      <c r="C56" s="20"/>
      <c r="D56" s="20"/>
      <c r="E56" s="21">
        <v>231495</v>
      </c>
      <c r="F56" s="22">
        <v>2</v>
      </c>
      <c r="G56" s="22">
        <v>1</v>
      </c>
      <c r="H56" s="23" t="s">
        <v>109</v>
      </c>
      <c r="I56" s="20" t="s">
        <v>65</v>
      </c>
      <c r="J56" s="20"/>
    </row>
    <row r="57" spans="1:10" ht="13.5" customHeight="1" x14ac:dyDescent="0.2">
      <c r="A57" s="20" t="s">
        <v>110</v>
      </c>
      <c r="B57" s="20"/>
      <c r="C57" s="20"/>
      <c r="D57" s="20"/>
      <c r="E57" s="21">
        <v>231496</v>
      </c>
      <c r="F57" s="22">
        <v>1</v>
      </c>
      <c r="G57" s="22">
        <v>1</v>
      </c>
      <c r="H57" s="23" t="s">
        <v>23</v>
      </c>
      <c r="I57" s="20" t="s">
        <v>24</v>
      </c>
      <c r="J57" s="20"/>
    </row>
    <row r="58" spans="1:10" ht="13.5" customHeight="1" x14ac:dyDescent="0.2">
      <c r="A58" s="20" t="s">
        <v>110</v>
      </c>
      <c r="B58" s="20"/>
      <c r="C58" s="20"/>
      <c r="D58" s="20"/>
      <c r="E58" s="21">
        <v>231496</v>
      </c>
      <c r="F58" s="22">
        <v>2</v>
      </c>
      <c r="G58" s="22">
        <v>2</v>
      </c>
      <c r="H58" s="23" t="s">
        <v>25</v>
      </c>
      <c r="I58" s="20" t="s">
        <v>24</v>
      </c>
      <c r="J58" s="20"/>
    </row>
    <row r="59" spans="1:10" ht="13.5" customHeight="1" x14ac:dyDescent="0.2">
      <c r="A59" s="20" t="s">
        <v>111</v>
      </c>
      <c r="B59" s="20"/>
      <c r="C59" s="20"/>
      <c r="D59" s="20"/>
      <c r="E59" s="21">
        <v>231497</v>
      </c>
      <c r="F59" s="22">
        <v>1</v>
      </c>
      <c r="G59" s="22">
        <v>5</v>
      </c>
      <c r="H59" s="23" t="s">
        <v>25</v>
      </c>
      <c r="I59" s="20" t="s">
        <v>24</v>
      </c>
      <c r="J59" s="20"/>
    </row>
    <row r="60" spans="1:10" ht="13.5" customHeight="1" x14ac:dyDescent="0.2">
      <c r="A60" s="20" t="s">
        <v>112</v>
      </c>
      <c r="B60" s="20"/>
      <c r="C60" s="20"/>
      <c r="D60" s="20"/>
      <c r="E60" s="21">
        <v>231498</v>
      </c>
      <c r="F60" s="22">
        <v>1</v>
      </c>
      <c r="G60" s="22">
        <v>1</v>
      </c>
      <c r="H60" s="23" t="s">
        <v>23</v>
      </c>
      <c r="I60" s="20" t="s">
        <v>24</v>
      </c>
      <c r="J60" s="20"/>
    </row>
    <row r="61" spans="1:10" ht="13.5" customHeight="1" x14ac:dyDescent="0.2">
      <c r="A61" s="20" t="s">
        <v>112</v>
      </c>
      <c r="B61" s="20"/>
      <c r="C61" s="20"/>
      <c r="D61" s="20"/>
      <c r="E61" s="21">
        <v>231498</v>
      </c>
      <c r="F61" s="22">
        <v>2</v>
      </c>
      <c r="G61" s="22">
        <v>2</v>
      </c>
      <c r="H61" s="23" t="s">
        <v>25</v>
      </c>
      <c r="I61" s="20" t="s">
        <v>24</v>
      </c>
      <c r="J61" s="20"/>
    </row>
    <row r="62" spans="1:10" ht="13.5" customHeight="1" x14ac:dyDescent="0.2">
      <c r="A62" s="20" t="s">
        <v>113</v>
      </c>
      <c r="B62" s="20"/>
      <c r="C62" s="20"/>
      <c r="D62" s="20"/>
      <c r="E62" s="21">
        <v>231499</v>
      </c>
      <c r="F62" s="22">
        <v>1</v>
      </c>
      <c r="G62" s="22">
        <v>2</v>
      </c>
      <c r="H62" s="23" t="s">
        <v>25</v>
      </c>
      <c r="I62" s="20" t="s">
        <v>24</v>
      </c>
      <c r="J62" s="20"/>
    </row>
    <row r="63" spans="1:10" ht="13.5" customHeight="1" x14ac:dyDescent="0.2">
      <c r="A63" s="20" t="s">
        <v>113</v>
      </c>
      <c r="B63" s="20"/>
      <c r="C63" s="20"/>
      <c r="D63" s="20"/>
      <c r="E63" s="21">
        <v>231499</v>
      </c>
      <c r="F63" s="22">
        <v>2</v>
      </c>
      <c r="G63" s="22">
        <v>1</v>
      </c>
      <c r="H63" s="23" t="s">
        <v>23</v>
      </c>
      <c r="I63" s="20" t="s">
        <v>24</v>
      </c>
      <c r="J63" s="20"/>
    </row>
    <row r="64" spans="1:10" ht="13.5" customHeight="1" x14ac:dyDescent="0.2">
      <c r="A64" s="20" t="s">
        <v>114</v>
      </c>
      <c r="B64" s="20"/>
      <c r="C64" s="20"/>
      <c r="D64" s="20"/>
      <c r="E64" s="21">
        <v>231500</v>
      </c>
      <c r="F64" s="22">
        <v>1</v>
      </c>
      <c r="G64" s="22">
        <v>4</v>
      </c>
      <c r="H64" s="23" t="s">
        <v>25</v>
      </c>
      <c r="I64" s="20" t="s">
        <v>24</v>
      </c>
      <c r="J64" s="20"/>
    </row>
    <row r="65" spans="1:10" ht="13.5" customHeight="1" x14ac:dyDescent="0.2">
      <c r="A65" s="20" t="s">
        <v>115</v>
      </c>
      <c r="B65" s="20"/>
      <c r="C65" s="20"/>
      <c r="D65" s="20"/>
      <c r="E65" s="21">
        <v>231501</v>
      </c>
      <c r="F65" s="22">
        <v>1</v>
      </c>
      <c r="G65" s="22">
        <v>4</v>
      </c>
      <c r="H65" s="23" t="s">
        <v>25</v>
      </c>
      <c r="I65" s="20" t="s">
        <v>24</v>
      </c>
      <c r="J65" s="20"/>
    </row>
    <row r="66" spans="1:10" ht="13.5" customHeight="1" x14ac:dyDescent="0.2">
      <c r="A66" s="20" t="s">
        <v>116</v>
      </c>
      <c r="B66" s="20"/>
      <c r="C66" s="20"/>
      <c r="D66" s="20"/>
      <c r="E66" s="21">
        <v>231502</v>
      </c>
      <c r="F66" s="22">
        <v>1</v>
      </c>
      <c r="G66" s="22">
        <v>4</v>
      </c>
      <c r="H66" s="23" t="s">
        <v>25</v>
      </c>
      <c r="I66" s="20" t="s">
        <v>24</v>
      </c>
      <c r="J66" s="20"/>
    </row>
    <row r="67" spans="1:10" ht="13.5" customHeight="1" x14ac:dyDescent="0.2">
      <c r="A67" s="20" t="s">
        <v>116</v>
      </c>
      <c r="B67" s="20"/>
      <c r="C67" s="20"/>
      <c r="D67" s="20"/>
      <c r="E67" s="21">
        <v>231502</v>
      </c>
      <c r="F67" s="22">
        <v>2</v>
      </c>
      <c r="G67" s="22">
        <v>1</v>
      </c>
      <c r="H67" s="23" t="s">
        <v>23</v>
      </c>
      <c r="I67" s="20" t="s">
        <v>24</v>
      </c>
      <c r="J67" s="20"/>
    </row>
    <row r="68" spans="1:10" ht="13.5" customHeight="1" x14ac:dyDescent="0.2">
      <c r="A68" s="20" t="s">
        <v>117</v>
      </c>
      <c r="B68" s="20"/>
      <c r="C68" s="20"/>
      <c r="D68" s="20"/>
      <c r="E68" s="21">
        <v>231504</v>
      </c>
      <c r="F68" s="22">
        <v>1</v>
      </c>
      <c r="G68" s="22">
        <v>1</v>
      </c>
      <c r="H68" s="23" t="s">
        <v>47</v>
      </c>
      <c r="I68" s="20" t="s">
        <v>39</v>
      </c>
      <c r="J68" s="20"/>
    </row>
    <row r="69" spans="1:10" ht="13.5" customHeight="1" x14ac:dyDescent="0.2">
      <c r="A69" s="20" t="s">
        <v>117</v>
      </c>
      <c r="B69" s="20"/>
      <c r="C69" s="20"/>
      <c r="D69" s="20"/>
      <c r="E69" s="21">
        <v>231504</v>
      </c>
      <c r="F69" s="22">
        <v>2</v>
      </c>
      <c r="G69" s="22">
        <v>1</v>
      </c>
      <c r="H69" s="23" t="s">
        <v>46</v>
      </c>
      <c r="I69" s="20" t="s">
        <v>39</v>
      </c>
      <c r="J69" s="20"/>
    </row>
    <row r="70" spans="1:10" ht="13.5" customHeight="1" x14ac:dyDescent="0.2">
      <c r="A70" s="20" t="s">
        <v>118</v>
      </c>
      <c r="B70" s="20"/>
      <c r="C70" s="20"/>
      <c r="D70" s="20"/>
      <c r="E70" s="21">
        <v>231505</v>
      </c>
      <c r="F70" s="22">
        <v>1</v>
      </c>
      <c r="G70" s="22">
        <v>1</v>
      </c>
      <c r="H70" s="23" t="s">
        <v>50</v>
      </c>
      <c r="I70" s="20" t="s">
        <v>26</v>
      </c>
      <c r="J70" s="20"/>
    </row>
    <row r="71" spans="1:10" ht="13.5" customHeight="1" x14ac:dyDescent="0.2">
      <c r="A71" s="20" t="s">
        <v>118</v>
      </c>
      <c r="B71" s="20"/>
      <c r="C71" s="20"/>
      <c r="D71" s="20"/>
      <c r="E71" s="21">
        <v>231505</v>
      </c>
      <c r="F71" s="22">
        <v>2</v>
      </c>
      <c r="G71" s="22">
        <v>1</v>
      </c>
      <c r="H71" s="23" t="s">
        <v>119</v>
      </c>
      <c r="I71" s="20" t="s">
        <v>26</v>
      </c>
      <c r="J71" s="20"/>
    </row>
    <row r="72" spans="1:10" ht="13.5" customHeight="1" x14ac:dyDescent="0.2">
      <c r="A72" s="20" t="s">
        <v>118</v>
      </c>
      <c r="B72" s="20"/>
      <c r="C72" s="20"/>
      <c r="D72" s="20"/>
      <c r="E72" s="21">
        <v>231505</v>
      </c>
      <c r="F72" s="22">
        <v>3</v>
      </c>
      <c r="G72" s="22">
        <v>1</v>
      </c>
      <c r="H72" s="23" t="s">
        <v>120</v>
      </c>
      <c r="I72" s="20" t="s">
        <v>26</v>
      </c>
      <c r="J72" s="20"/>
    </row>
    <row r="73" spans="1:10" ht="13.5" customHeight="1" x14ac:dyDescent="0.2">
      <c r="A73" s="20" t="s">
        <v>121</v>
      </c>
      <c r="B73" s="20"/>
      <c r="C73" s="20"/>
      <c r="D73" s="20"/>
      <c r="E73" s="21">
        <v>231507</v>
      </c>
      <c r="F73" s="22">
        <v>1</v>
      </c>
      <c r="G73" s="22">
        <v>2</v>
      </c>
      <c r="H73" s="23" t="s">
        <v>23</v>
      </c>
      <c r="I73" s="20" t="s">
        <v>24</v>
      </c>
      <c r="J73" s="20"/>
    </row>
    <row r="74" spans="1:10" ht="13.5" customHeight="1" x14ac:dyDescent="0.2">
      <c r="A74" s="20" t="s">
        <v>121</v>
      </c>
      <c r="B74" s="20"/>
      <c r="C74" s="20"/>
      <c r="D74" s="20"/>
      <c r="E74" s="21">
        <v>231507</v>
      </c>
      <c r="F74" s="22">
        <v>2</v>
      </c>
      <c r="G74" s="22">
        <v>2</v>
      </c>
      <c r="H74" s="23" t="s">
        <v>25</v>
      </c>
      <c r="I74" s="20" t="s">
        <v>24</v>
      </c>
      <c r="J74" s="20"/>
    </row>
    <row r="75" spans="1:10" ht="13.5" customHeight="1" x14ac:dyDescent="0.2">
      <c r="A75" s="20" t="s">
        <v>122</v>
      </c>
      <c r="B75" s="20"/>
      <c r="C75" s="20"/>
      <c r="D75" s="20"/>
      <c r="E75" s="21">
        <v>231508</v>
      </c>
      <c r="F75" s="22">
        <v>1</v>
      </c>
      <c r="G75" s="22">
        <v>2</v>
      </c>
      <c r="H75" s="23" t="s">
        <v>23</v>
      </c>
      <c r="I75" s="20" t="s">
        <v>24</v>
      </c>
      <c r="J75" s="20"/>
    </row>
    <row r="76" spans="1:10" ht="13.5" customHeight="1" x14ac:dyDescent="0.2">
      <c r="A76" s="20" t="s">
        <v>122</v>
      </c>
      <c r="B76" s="20"/>
      <c r="C76" s="20"/>
      <c r="D76" s="20"/>
      <c r="E76" s="21">
        <v>231508</v>
      </c>
      <c r="F76" s="22">
        <v>2</v>
      </c>
      <c r="G76" s="22">
        <v>2</v>
      </c>
      <c r="H76" s="23" t="s">
        <v>25</v>
      </c>
      <c r="I76" s="20" t="s">
        <v>24</v>
      </c>
      <c r="J76" s="20"/>
    </row>
    <row r="77" spans="1:10" ht="13.5" customHeight="1" x14ac:dyDescent="0.2">
      <c r="A77" s="20" t="s">
        <v>123</v>
      </c>
      <c r="B77" s="20"/>
      <c r="C77" s="20"/>
      <c r="D77" s="20"/>
      <c r="E77" s="21">
        <v>231509</v>
      </c>
      <c r="F77" s="22">
        <v>1</v>
      </c>
      <c r="G77" s="22">
        <v>2</v>
      </c>
      <c r="H77" s="23" t="s">
        <v>23</v>
      </c>
      <c r="I77" s="20" t="s">
        <v>24</v>
      </c>
      <c r="J77" s="20"/>
    </row>
    <row r="78" spans="1:10" ht="13.5" customHeight="1" x14ac:dyDescent="0.2">
      <c r="A78" s="20" t="s">
        <v>123</v>
      </c>
      <c r="B78" s="20"/>
      <c r="C78" s="20"/>
      <c r="D78" s="20"/>
      <c r="E78" s="21">
        <v>231509</v>
      </c>
      <c r="F78" s="22">
        <v>2</v>
      </c>
      <c r="G78" s="22">
        <v>2</v>
      </c>
      <c r="H78" s="23" t="s">
        <v>25</v>
      </c>
      <c r="I78" s="20" t="s">
        <v>24</v>
      </c>
      <c r="J78" s="20"/>
    </row>
    <row r="79" spans="1:10" ht="13.5" customHeight="1" x14ac:dyDescent="0.2">
      <c r="A79" s="20" t="s">
        <v>124</v>
      </c>
      <c r="B79" s="20"/>
      <c r="C79" s="20"/>
      <c r="D79" s="20"/>
      <c r="E79" s="21">
        <v>231510</v>
      </c>
      <c r="F79" s="22">
        <v>1</v>
      </c>
      <c r="G79" s="22">
        <v>1</v>
      </c>
      <c r="H79" s="23" t="s">
        <v>125</v>
      </c>
      <c r="I79" s="20" t="s">
        <v>39</v>
      </c>
      <c r="J79" s="20"/>
    </row>
    <row r="80" spans="1:10" ht="13.5" customHeight="1" x14ac:dyDescent="0.2">
      <c r="A80" s="20" t="s">
        <v>124</v>
      </c>
      <c r="B80" s="20"/>
      <c r="C80" s="20"/>
      <c r="D80" s="20"/>
      <c r="E80" s="21">
        <v>231510</v>
      </c>
      <c r="F80" s="22">
        <v>2</v>
      </c>
      <c r="G80" s="22">
        <v>1</v>
      </c>
      <c r="H80" s="23" t="s">
        <v>53</v>
      </c>
      <c r="I80" s="20" t="s">
        <v>39</v>
      </c>
      <c r="J80" s="20"/>
    </row>
    <row r="81" spans="1:10" ht="13.5" customHeight="1" x14ac:dyDescent="0.2">
      <c r="A81" s="20" t="s">
        <v>126</v>
      </c>
      <c r="B81" s="20"/>
      <c r="C81" s="20"/>
      <c r="D81" s="20"/>
      <c r="E81" s="21">
        <v>231511</v>
      </c>
      <c r="F81" s="22">
        <v>1</v>
      </c>
      <c r="G81" s="22">
        <v>1</v>
      </c>
      <c r="H81" s="23" t="s">
        <v>127</v>
      </c>
      <c r="I81" s="20" t="s">
        <v>39</v>
      </c>
      <c r="J81" s="20"/>
    </row>
    <row r="82" spans="1:10" ht="13.5" customHeight="1" x14ac:dyDescent="0.2">
      <c r="A82" s="20" t="s">
        <v>126</v>
      </c>
      <c r="B82" s="20"/>
      <c r="C82" s="20"/>
      <c r="D82" s="20"/>
      <c r="E82" s="21">
        <v>231511</v>
      </c>
      <c r="F82" s="22">
        <v>2</v>
      </c>
      <c r="G82" s="22">
        <v>1</v>
      </c>
      <c r="H82" s="23" t="s">
        <v>53</v>
      </c>
      <c r="I82" s="20" t="s">
        <v>39</v>
      </c>
      <c r="J82" s="20"/>
    </row>
    <row r="83" spans="1:10" ht="13.5" customHeight="1" x14ac:dyDescent="0.2">
      <c r="A83" s="20" t="s">
        <v>128</v>
      </c>
      <c r="B83" s="20"/>
      <c r="C83" s="20"/>
      <c r="D83" s="20"/>
      <c r="E83" s="21">
        <v>231512</v>
      </c>
      <c r="F83" s="22">
        <v>1</v>
      </c>
      <c r="G83" s="22">
        <v>1</v>
      </c>
      <c r="H83" s="23" t="s">
        <v>129</v>
      </c>
      <c r="I83" s="20" t="s">
        <v>39</v>
      </c>
      <c r="J83" s="20"/>
    </row>
    <row r="84" spans="1:10" ht="13.5" customHeight="1" x14ac:dyDescent="0.2">
      <c r="A84" s="20" t="s">
        <v>128</v>
      </c>
      <c r="B84" s="20"/>
      <c r="C84" s="20"/>
      <c r="D84" s="20"/>
      <c r="E84" s="21">
        <v>231512</v>
      </c>
      <c r="F84" s="22">
        <v>2</v>
      </c>
      <c r="G84" s="22">
        <v>1</v>
      </c>
      <c r="H84" s="23" t="s">
        <v>53</v>
      </c>
      <c r="I84" s="20" t="s">
        <v>39</v>
      </c>
      <c r="J84" s="20"/>
    </row>
    <row r="85" spans="1:10" ht="13.5" customHeight="1" x14ac:dyDescent="0.2">
      <c r="A85" s="20" t="s">
        <v>130</v>
      </c>
      <c r="B85" s="20"/>
      <c r="C85" s="20"/>
      <c r="D85" s="20"/>
      <c r="E85" s="21">
        <v>231513</v>
      </c>
      <c r="F85" s="22">
        <v>1</v>
      </c>
      <c r="G85" s="22">
        <v>1</v>
      </c>
      <c r="H85" s="23" t="s">
        <v>131</v>
      </c>
      <c r="I85" s="20" t="s">
        <v>39</v>
      </c>
      <c r="J85" s="20"/>
    </row>
    <row r="86" spans="1:10" ht="13.5" customHeight="1" x14ac:dyDescent="0.2">
      <c r="A86" s="20" t="s">
        <v>130</v>
      </c>
      <c r="B86" s="20"/>
      <c r="C86" s="20"/>
      <c r="D86" s="20"/>
      <c r="E86" s="21">
        <v>231513</v>
      </c>
      <c r="F86" s="22">
        <v>2</v>
      </c>
      <c r="G86" s="22">
        <v>1</v>
      </c>
      <c r="H86" s="23" t="s">
        <v>53</v>
      </c>
      <c r="I86" s="20" t="s">
        <v>39</v>
      </c>
      <c r="J86" s="20"/>
    </row>
    <row r="87" spans="1:10" ht="13.5" customHeight="1" x14ac:dyDescent="0.2">
      <c r="A87" s="20" t="s">
        <v>132</v>
      </c>
      <c r="B87" s="20"/>
      <c r="C87" s="20"/>
      <c r="D87" s="20"/>
      <c r="E87" s="21">
        <v>231514</v>
      </c>
      <c r="F87" s="22">
        <v>1</v>
      </c>
      <c r="G87" s="22">
        <v>1</v>
      </c>
      <c r="H87" s="23" t="s">
        <v>47</v>
      </c>
      <c r="I87" s="20" t="s">
        <v>39</v>
      </c>
      <c r="J87" s="20"/>
    </row>
    <row r="88" spans="1:10" ht="13.5" customHeight="1" x14ac:dyDescent="0.2">
      <c r="A88" s="20" t="s">
        <v>132</v>
      </c>
      <c r="B88" s="20"/>
      <c r="C88" s="20"/>
      <c r="D88" s="20"/>
      <c r="E88" s="21">
        <v>231514</v>
      </c>
      <c r="F88" s="22">
        <v>2</v>
      </c>
      <c r="G88" s="22">
        <v>1</v>
      </c>
      <c r="H88" s="23" t="s">
        <v>55</v>
      </c>
      <c r="I88" s="20" t="s">
        <v>39</v>
      </c>
      <c r="J88" s="20"/>
    </row>
    <row r="89" spans="1:10" ht="13.5" customHeight="1" x14ac:dyDescent="0.2">
      <c r="A89" s="20" t="s">
        <v>133</v>
      </c>
      <c r="B89" s="20"/>
      <c r="C89" s="20"/>
      <c r="D89" s="20"/>
      <c r="E89" s="21">
        <v>231515</v>
      </c>
      <c r="F89" s="22">
        <v>1</v>
      </c>
      <c r="G89" s="22">
        <v>1</v>
      </c>
      <c r="H89" s="23" t="s">
        <v>47</v>
      </c>
      <c r="I89" s="20" t="s">
        <v>39</v>
      </c>
      <c r="J89" s="20"/>
    </row>
    <row r="90" spans="1:10" ht="13.5" customHeight="1" x14ac:dyDescent="0.2">
      <c r="A90" s="20" t="s">
        <v>133</v>
      </c>
      <c r="B90" s="20"/>
      <c r="C90" s="20"/>
      <c r="D90" s="20"/>
      <c r="E90" s="21">
        <v>231515</v>
      </c>
      <c r="F90" s="22">
        <v>2</v>
      </c>
      <c r="G90" s="22">
        <v>1</v>
      </c>
      <c r="H90" s="23" t="s">
        <v>46</v>
      </c>
      <c r="I90" s="20" t="s">
        <v>39</v>
      </c>
      <c r="J90" s="20"/>
    </row>
    <row r="91" spans="1:10" ht="13.5" customHeight="1" x14ac:dyDescent="0.2">
      <c r="A91" s="20" t="s">
        <v>134</v>
      </c>
      <c r="B91" s="20"/>
      <c r="C91" s="20"/>
      <c r="D91" s="20"/>
      <c r="E91" s="21">
        <v>231516</v>
      </c>
      <c r="F91" s="22">
        <v>1</v>
      </c>
      <c r="G91" s="22">
        <v>1</v>
      </c>
      <c r="H91" s="23" t="s">
        <v>47</v>
      </c>
      <c r="I91" s="20" t="s">
        <v>39</v>
      </c>
      <c r="J91" s="20"/>
    </row>
    <row r="92" spans="1:10" ht="13.5" customHeight="1" x14ac:dyDescent="0.2">
      <c r="A92" s="20" t="s">
        <v>134</v>
      </c>
      <c r="B92" s="20"/>
      <c r="C92" s="20"/>
      <c r="D92" s="20"/>
      <c r="E92" s="21">
        <v>231516</v>
      </c>
      <c r="F92" s="22">
        <v>2</v>
      </c>
      <c r="G92" s="22">
        <v>1</v>
      </c>
      <c r="H92" s="23" t="s">
        <v>49</v>
      </c>
      <c r="I92" s="20" t="s">
        <v>39</v>
      </c>
      <c r="J92" s="20"/>
    </row>
    <row r="93" spans="1:10" ht="13.5" customHeight="1" x14ac:dyDescent="0.2">
      <c r="A93" s="20" t="s">
        <v>135</v>
      </c>
      <c r="B93" s="20"/>
      <c r="C93" s="20"/>
      <c r="D93" s="20"/>
      <c r="E93" s="21">
        <v>231517</v>
      </c>
      <c r="F93" s="22">
        <v>1</v>
      </c>
      <c r="G93" s="22">
        <v>1</v>
      </c>
      <c r="H93" s="23" t="s">
        <v>47</v>
      </c>
      <c r="I93" s="20" t="s">
        <v>39</v>
      </c>
      <c r="J93" s="20"/>
    </row>
    <row r="94" spans="1:10" ht="13.5" customHeight="1" x14ac:dyDescent="0.2">
      <c r="A94" s="20" t="s">
        <v>135</v>
      </c>
      <c r="B94" s="20"/>
      <c r="C94" s="20"/>
      <c r="D94" s="20"/>
      <c r="E94" s="21">
        <v>231517</v>
      </c>
      <c r="F94" s="22">
        <v>2</v>
      </c>
      <c r="G94" s="22">
        <v>1</v>
      </c>
      <c r="H94" s="23" t="s">
        <v>49</v>
      </c>
      <c r="I94" s="20" t="s">
        <v>39</v>
      </c>
      <c r="J94" s="20"/>
    </row>
    <row r="95" spans="1:10" ht="13.5" customHeight="1" x14ac:dyDescent="0.2">
      <c r="A95" s="20" t="s">
        <v>136</v>
      </c>
      <c r="B95" s="20"/>
      <c r="C95" s="20"/>
      <c r="D95" s="20"/>
      <c r="E95" s="21">
        <v>231518</v>
      </c>
      <c r="F95" s="22">
        <v>1</v>
      </c>
      <c r="G95" s="22">
        <v>1</v>
      </c>
      <c r="H95" s="23" t="s">
        <v>137</v>
      </c>
      <c r="I95" s="20" t="s">
        <v>138</v>
      </c>
      <c r="J95" s="20"/>
    </row>
    <row r="96" spans="1:10" ht="13.5" customHeight="1" x14ac:dyDescent="0.2">
      <c r="A96" s="20" t="s">
        <v>139</v>
      </c>
      <c r="B96" s="20"/>
      <c r="C96" s="20"/>
      <c r="D96" s="20"/>
      <c r="E96" s="21">
        <v>231519</v>
      </c>
      <c r="F96" s="22">
        <v>1</v>
      </c>
      <c r="G96" s="22">
        <v>1</v>
      </c>
      <c r="H96" s="23" t="s">
        <v>56</v>
      </c>
      <c r="I96" s="20" t="s">
        <v>140</v>
      </c>
      <c r="J96" s="20"/>
    </row>
    <row r="97" spans="1:47" ht="13.5" customHeight="1" x14ac:dyDescent="0.2">
      <c r="A97" s="20" t="s">
        <v>141</v>
      </c>
      <c r="B97" s="20"/>
      <c r="C97" s="20"/>
      <c r="D97" s="20"/>
      <c r="E97" s="21">
        <v>231520</v>
      </c>
      <c r="F97" s="22">
        <v>1</v>
      </c>
      <c r="G97" s="22">
        <v>1</v>
      </c>
      <c r="H97" s="23" t="s">
        <v>131</v>
      </c>
      <c r="I97" s="20" t="s">
        <v>39</v>
      </c>
      <c r="J97" s="20"/>
    </row>
    <row r="98" spans="1:47" ht="13.5" customHeight="1" x14ac:dyDescent="0.2">
      <c r="A98" s="20" t="s">
        <v>141</v>
      </c>
      <c r="B98" s="20"/>
      <c r="C98" s="20"/>
      <c r="D98" s="20"/>
      <c r="E98" s="21">
        <v>231520</v>
      </c>
      <c r="F98" s="22">
        <v>2</v>
      </c>
      <c r="G98" s="22">
        <v>1</v>
      </c>
      <c r="H98" s="23" t="s">
        <v>53</v>
      </c>
      <c r="I98" s="20" t="s">
        <v>39</v>
      </c>
      <c r="J98" s="20"/>
    </row>
    <row r="99" spans="1:47" ht="13.5" customHeight="1" x14ac:dyDescent="0.2">
      <c r="A99" s="57" t="s">
        <v>177</v>
      </c>
      <c r="B99" s="57"/>
      <c r="C99" s="57"/>
      <c r="D99" s="57"/>
      <c r="E99" s="58">
        <v>231528</v>
      </c>
      <c r="F99" s="59">
        <v>1</v>
      </c>
      <c r="G99" s="59">
        <v>1</v>
      </c>
      <c r="H99" s="60" t="s">
        <v>51</v>
      </c>
      <c r="I99" s="57" t="s">
        <v>73</v>
      </c>
      <c r="J99" s="57"/>
      <c r="K99" s="61"/>
      <c r="L99" s="61"/>
      <c r="M99" s="61"/>
      <c r="N99" s="34"/>
    </row>
    <row r="100" spans="1:47" ht="13.5" customHeight="1" x14ac:dyDescent="0.2">
      <c r="A100" s="57" t="s">
        <v>178</v>
      </c>
      <c r="B100" s="57"/>
      <c r="C100" s="57"/>
      <c r="D100" s="57"/>
      <c r="E100" s="58">
        <v>231530</v>
      </c>
      <c r="F100" s="59">
        <v>1</v>
      </c>
      <c r="G100" s="59">
        <v>1</v>
      </c>
      <c r="H100" s="60" t="s">
        <v>179</v>
      </c>
      <c r="I100" s="57" t="s">
        <v>68</v>
      </c>
      <c r="J100" s="57"/>
      <c r="K100" s="61"/>
      <c r="L100" s="61"/>
      <c r="M100" s="61"/>
      <c r="N100" s="34"/>
    </row>
    <row r="101" spans="1:47" ht="13.5" customHeight="1" x14ac:dyDescent="0.2">
      <c r="A101" s="62" t="s">
        <v>183</v>
      </c>
      <c r="B101" s="62"/>
      <c r="C101" s="62"/>
      <c r="D101" s="62"/>
      <c r="E101" s="63">
        <v>231531</v>
      </c>
      <c r="F101" s="64">
        <v>1</v>
      </c>
      <c r="G101" s="64">
        <v>1</v>
      </c>
      <c r="H101" s="65" t="s">
        <v>129</v>
      </c>
      <c r="I101" s="62" t="s">
        <v>39</v>
      </c>
      <c r="J101" s="62"/>
      <c r="K101" s="66"/>
      <c r="L101" s="66"/>
      <c r="M101" s="66"/>
      <c r="N101" s="34"/>
    </row>
    <row r="102" spans="1:47" ht="13.5" customHeight="1" x14ac:dyDescent="0.2">
      <c r="A102" s="62" t="s">
        <v>184</v>
      </c>
      <c r="B102" s="62"/>
      <c r="C102" s="62"/>
      <c r="D102" s="62"/>
      <c r="E102" s="63">
        <v>231532</v>
      </c>
      <c r="F102" s="64">
        <v>1</v>
      </c>
      <c r="G102" s="64">
        <v>1</v>
      </c>
      <c r="H102" s="65" t="s">
        <v>53</v>
      </c>
      <c r="I102" s="62" t="s">
        <v>39</v>
      </c>
      <c r="J102" s="62"/>
      <c r="K102" s="66"/>
      <c r="L102" s="66"/>
      <c r="M102" s="66"/>
      <c r="N102" s="34"/>
    </row>
    <row r="103" spans="1:47" ht="13.5" customHeight="1" x14ac:dyDescent="0.2">
      <c r="A103" s="62" t="s">
        <v>185</v>
      </c>
      <c r="B103" s="62"/>
      <c r="C103" s="62"/>
      <c r="D103" s="62"/>
      <c r="E103" s="63">
        <v>231529</v>
      </c>
      <c r="F103" s="64">
        <v>1</v>
      </c>
      <c r="G103" s="64">
        <v>1</v>
      </c>
      <c r="H103" s="65" t="s">
        <v>53</v>
      </c>
      <c r="I103" s="62" t="s">
        <v>39</v>
      </c>
      <c r="J103" s="62"/>
      <c r="K103" s="66"/>
      <c r="L103" s="66"/>
      <c r="M103" s="66"/>
      <c r="N103" s="34"/>
    </row>
    <row r="104" spans="1:47" ht="13.5" customHeight="1" x14ac:dyDescent="0.2">
      <c r="A104" s="57" t="s">
        <v>180</v>
      </c>
      <c r="B104" s="57"/>
      <c r="C104" s="57"/>
      <c r="D104" s="57"/>
      <c r="E104" s="58">
        <v>231533</v>
      </c>
      <c r="F104" s="59">
        <v>1</v>
      </c>
      <c r="G104" s="59">
        <v>1</v>
      </c>
      <c r="H104" s="60" t="s">
        <v>67</v>
      </c>
      <c r="I104" s="57" t="s">
        <v>52</v>
      </c>
      <c r="J104" s="57"/>
      <c r="K104" s="61"/>
      <c r="L104" s="61"/>
      <c r="M104" s="61"/>
      <c r="N104" s="34"/>
    </row>
    <row r="105" spans="1:47" ht="13.5" customHeight="1" x14ac:dyDescent="0.2">
      <c r="A105" s="19" t="s">
        <v>8</v>
      </c>
    </row>
    <row r="106" spans="1:47" ht="13.5" customHeight="1" x14ac:dyDescent="0.2">
      <c r="A106" s="20" t="s">
        <v>142</v>
      </c>
      <c r="B106" s="20"/>
      <c r="C106" s="20"/>
      <c r="D106" s="20"/>
      <c r="E106" s="21">
        <v>231404</v>
      </c>
      <c r="F106" s="22">
        <v>1</v>
      </c>
      <c r="G106" s="22">
        <v>1</v>
      </c>
      <c r="H106" s="23" t="s">
        <v>143</v>
      </c>
      <c r="I106" s="20" t="s">
        <v>69</v>
      </c>
      <c r="J106" s="20"/>
      <c r="AP106" s="44" t="s">
        <v>188</v>
      </c>
      <c r="AQ106" s="44">
        <v>231404</v>
      </c>
      <c r="AR106" s="44">
        <v>1</v>
      </c>
      <c r="AS106" s="44">
        <v>1</v>
      </c>
      <c r="AT106" s="46">
        <v>46101.447916666664</v>
      </c>
      <c r="AU106" s="47" t="s">
        <v>66</v>
      </c>
    </row>
    <row r="107" spans="1:47" ht="13.5" customHeight="1" x14ac:dyDescent="0.2">
      <c r="A107" s="20" t="s">
        <v>142</v>
      </c>
      <c r="B107" s="20"/>
      <c r="C107" s="20"/>
      <c r="D107" s="20"/>
      <c r="E107" s="21">
        <v>231404</v>
      </c>
      <c r="F107" s="22">
        <v>2</v>
      </c>
      <c r="G107" s="22">
        <v>1</v>
      </c>
      <c r="H107" s="23" t="s">
        <v>144</v>
      </c>
      <c r="I107" s="20" t="s">
        <v>69</v>
      </c>
      <c r="J107" s="20"/>
      <c r="AP107" s="44" t="s">
        <v>189</v>
      </c>
      <c r="AQ107" s="44">
        <v>231404</v>
      </c>
      <c r="AR107" s="44">
        <v>2</v>
      </c>
      <c r="AS107" s="44">
        <v>1</v>
      </c>
      <c r="AT107" s="46">
        <v>46101.443749999999</v>
      </c>
      <c r="AU107" s="47" t="s">
        <v>66</v>
      </c>
    </row>
    <row r="108" spans="1:47" ht="13.5" customHeight="1" x14ac:dyDescent="0.2">
      <c r="A108" s="20" t="s">
        <v>142</v>
      </c>
      <c r="B108" s="20"/>
      <c r="C108" s="20"/>
      <c r="D108" s="20"/>
      <c r="E108" s="21">
        <v>231404</v>
      </c>
      <c r="F108" s="22">
        <v>3</v>
      </c>
      <c r="G108" s="22">
        <v>1</v>
      </c>
      <c r="H108" s="23" t="s">
        <v>145</v>
      </c>
      <c r="I108" s="20" t="s">
        <v>69</v>
      </c>
      <c r="J108" s="20"/>
      <c r="AP108" s="44" t="s">
        <v>190</v>
      </c>
      <c r="AQ108" s="44">
        <v>231404</v>
      </c>
      <c r="AR108" s="44">
        <v>3</v>
      </c>
      <c r="AS108" s="44">
        <v>1</v>
      </c>
      <c r="AT108" s="46">
        <v>46101.488194444442</v>
      </c>
      <c r="AU108" s="47" t="s">
        <v>66</v>
      </c>
    </row>
    <row r="109" spans="1:47" ht="13.5" customHeight="1" x14ac:dyDescent="0.2">
      <c r="A109" s="20" t="s">
        <v>146</v>
      </c>
      <c r="B109" s="20"/>
      <c r="C109" s="20"/>
      <c r="D109" s="20"/>
      <c r="E109" s="21">
        <v>231405</v>
      </c>
      <c r="F109" s="22">
        <v>1</v>
      </c>
      <c r="G109" s="22">
        <v>1</v>
      </c>
      <c r="H109" s="23" t="s">
        <v>147</v>
      </c>
      <c r="I109" s="20" t="s">
        <v>69</v>
      </c>
      <c r="J109" s="20"/>
      <c r="AP109" s="44" t="s">
        <v>191</v>
      </c>
      <c r="AQ109" s="44">
        <v>231405</v>
      </c>
      <c r="AR109" s="44">
        <v>1</v>
      </c>
      <c r="AS109" s="44">
        <v>1</v>
      </c>
      <c r="AT109" s="46">
        <v>46101.458333333336</v>
      </c>
      <c r="AU109" s="47" t="s">
        <v>66</v>
      </c>
    </row>
    <row r="110" spans="1:47" ht="13.5" customHeight="1" x14ac:dyDescent="0.2">
      <c r="A110" s="20" t="s">
        <v>146</v>
      </c>
      <c r="B110" s="20"/>
      <c r="C110" s="20"/>
      <c r="D110" s="20"/>
      <c r="E110" s="21">
        <v>231405</v>
      </c>
      <c r="F110" s="22">
        <v>2</v>
      </c>
      <c r="G110" s="22">
        <v>1</v>
      </c>
      <c r="H110" s="23" t="s">
        <v>58</v>
      </c>
      <c r="I110" s="20" t="s">
        <v>69</v>
      </c>
      <c r="J110" s="20"/>
      <c r="AP110" s="44" t="s">
        <v>192</v>
      </c>
      <c r="AQ110" s="44">
        <v>231405</v>
      </c>
      <c r="AR110" s="44">
        <v>2</v>
      </c>
      <c r="AS110" s="44">
        <v>1</v>
      </c>
      <c r="AT110" s="46">
        <v>46101.443749999999</v>
      </c>
      <c r="AU110" s="47" t="s">
        <v>66</v>
      </c>
    </row>
    <row r="111" spans="1:47" ht="13.5" customHeight="1" x14ac:dyDescent="0.2">
      <c r="A111" s="20" t="s">
        <v>148</v>
      </c>
      <c r="B111" s="20"/>
      <c r="C111" s="20"/>
      <c r="D111" s="20"/>
      <c r="E111" s="21">
        <v>231406</v>
      </c>
      <c r="F111" s="22">
        <v>1</v>
      </c>
      <c r="G111" s="22">
        <v>1</v>
      </c>
      <c r="H111" s="23" t="s">
        <v>149</v>
      </c>
      <c r="I111" s="20" t="s">
        <v>69</v>
      </c>
      <c r="J111" s="20"/>
      <c r="P111" s="44" t="s">
        <v>193</v>
      </c>
      <c r="Q111" s="44">
        <v>231406</v>
      </c>
      <c r="R111" s="44">
        <v>1</v>
      </c>
      <c r="S111" s="45">
        <v>1</v>
      </c>
      <c r="T111" s="53">
        <v>46104.467361111114</v>
      </c>
      <c r="U111" s="47" t="s">
        <v>66</v>
      </c>
      <c r="V111" s="67" t="s">
        <v>212</v>
      </c>
      <c r="AP111" s="44" t="s">
        <v>193</v>
      </c>
      <c r="AQ111" s="44">
        <v>231406</v>
      </c>
      <c r="AR111" s="44">
        <v>1</v>
      </c>
      <c r="AS111" s="44">
        <v>1</v>
      </c>
      <c r="AT111" s="46">
        <v>46104.466666666667</v>
      </c>
      <c r="AU111" s="47" t="s">
        <v>66</v>
      </c>
    </row>
    <row r="112" spans="1:47" ht="13.5" customHeight="1" x14ac:dyDescent="0.2">
      <c r="A112" s="20" t="s">
        <v>148</v>
      </c>
      <c r="B112" s="20"/>
      <c r="C112" s="20"/>
      <c r="D112" s="20"/>
      <c r="E112" s="21">
        <v>231406</v>
      </c>
      <c r="F112" s="22">
        <v>2</v>
      </c>
      <c r="G112" s="22">
        <v>1</v>
      </c>
      <c r="H112" s="23" t="s">
        <v>60</v>
      </c>
      <c r="I112" s="20" t="s">
        <v>69</v>
      </c>
      <c r="J112" s="20"/>
      <c r="AP112" s="44" t="s">
        <v>194</v>
      </c>
      <c r="AQ112" s="44">
        <v>231406</v>
      </c>
      <c r="AR112" s="44">
        <v>2</v>
      </c>
      <c r="AS112" s="44">
        <v>1</v>
      </c>
      <c r="AT112" s="46">
        <v>46101.444444444445</v>
      </c>
      <c r="AU112" s="47" t="s">
        <v>66</v>
      </c>
    </row>
    <row r="113" spans="1:47" ht="13.5" customHeight="1" x14ac:dyDescent="0.2">
      <c r="A113" s="20" t="s">
        <v>150</v>
      </c>
      <c r="B113" s="20"/>
      <c r="C113" s="20"/>
      <c r="D113" s="20"/>
      <c r="E113" s="21">
        <v>231407</v>
      </c>
      <c r="F113" s="22">
        <v>1</v>
      </c>
      <c r="G113" s="22">
        <v>1</v>
      </c>
      <c r="H113" s="23" t="s">
        <v>151</v>
      </c>
      <c r="I113" s="20" t="s">
        <v>73</v>
      </c>
      <c r="J113" s="20"/>
      <c r="AP113" s="44"/>
      <c r="AQ113" s="44"/>
      <c r="AR113" s="44"/>
      <c r="AS113" s="44"/>
      <c r="AT113" s="44"/>
      <c r="AU113" s="44"/>
    </row>
    <row r="114" spans="1:47" ht="13.5" customHeight="1" x14ac:dyDescent="0.2">
      <c r="A114" s="20" t="s">
        <v>152</v>
      </c>
      <c r="B114" s="20"/>
      <c r="C114" s="20"/>
      <c r="D114" s="20"/>
      <c r="E114" s="21">
        <v>231408</v>
      </c>
      <c r="F114" s="22">
        <v>1</v>
      </c>
      <c r="G114" s="22">
        <v>1</v>
      </c>
      <c r="H114" s="23" t="s">
        <v>153</v>
      </c>
      <c r="I114" s="20" t="s">
        <v>73</v>
      </c>
      <c r="J114" s="20"/>
      <c r="AP114" s="44" t="s">
        <v>195</v>
      </c>
      <c r="AQ114" s="44">
        <v>231408</v>
      </c>
      <c r="AR114" s="44">
        <v>1</v>
      </c>
      <c r="AS114" s="44">
        <v>1</v>
      </c>
      <c r="AT114" s="46">
        <v>46101.453472222223</v>
      </c>
      <c r="AU114" s="47" t="s">
        <v>66</v>
      </c>
    </row>
    <row r="115" spans="1:47" ht="13.5" customHeight="1" x14ac:dyDescent="0.2">
      <c r="A115" s="20" t="s">
        <v>154</v>
      </c>
      <c r="B115" s="20"/>
      <c r="C115" s="20"/>
      <c r="D115" s="20"/>
      <c r="E115" s="21">
        <v>231409</v>
      </c>
      <c r="F115" s="22">
        <v>1</v>
      </c>
      <c r="G115" s="22">
        <v>1</v>
      </c>
      <c r="H115" s="23" t="s">
        <v>155</v>
      </c>
      <c r="I115" s="20" t="s">
        <v>54</v>
      </c>
      <c r="J115" s="20"/>
      <c r="AP115" s="44" t="s">
        <v>196</v>
      </c>
      <c r="AQ115" s="44">
        <v>231409</v>
      </c>
      <c r="AR115" s="44">
        <v>1</v>
      </c>
      <c r="AS115" s="44">
        <v>1</v>
      </c>
      <c r="AT115" s="46">
        <v>46101.477777777778</v>
      </c>
      <c r="AU115" s="47" t="s">
        <v>66</v>
      </c>
    </row>
    <row r="116" spans="1:47" ht="13.5" customHeight="1" x14ac:dyDescent="0.2">
      <c r="A116" s="20" t="s">
        <v>154</v>
      </c>
      <c r="B116" s="20"/>
      <c r="C116" s="20"/>
      <c r="D116" s="20"/>
      <c r="E116" s="21">
        <v>231409</v>
      </c>
      <c r="F116" s="22">
        <v>2</v>
      </c>
      <c r="G116" s="22">
        <v>1</v>
      </c>
      <c r="H116" s="23" t="s">
        <v>156</v>
      </c>
      <c r="I116" s="20" t="s">
        <v>54</v>
      </c>
      <c r="J116" s="20"/>
      <c r="AP116" s="44" t="s">
        <v>197</v>
      </c>
      <c r="AQ116" s="44">
        <v>231409</v>
      </c>
      <c r="AR116" s="44">
        <v>2</v>
      </c>
      <c r="AS116" s="44">
        <v>1</v>
      </c>
      <c r="AT116" s="46">
        <v>46101.455555555556</v>
      </c>
      <c r="AU116" s="47" t="s">
        <v>66</v>
      </c>
    </row>
    <row r="117" spans="1:47" ht="13.5" customHeight="1" x14ac:dyDescent="0.2">
      <c r="A117" s="20" t="s">
        <v>157</v>
      </c>
      <c r="B117" s="20"/>
      <c r="C117" s="20"/>
      <c r="D117" s="20"/>
      <c r="E117" s="21">
        <v>231410</v>
      </c>
      <c r="F117" s="22">
        <v>1</v>
      </c>
      <c r="G117" s="22">
        <v>1</v>
      </c>
      <c r="H117" s="23" t="s">
        <v>158</v>
      </c>
      <c r="I117" s="20" t="s">
        <v>52</v>
      </c>
      <c r="J117" s="20"/>
      <c r="AP117" s="44" t="s">
        <v>198</v>
      </c>
      <c r="AQ117" s="44">
        <v>231410</v>
      </c>
      <c r="AR117" s="44">
        <v>1</v>
      </c>
      <c r="AS117" s="44">
        <v>1</v>
      </c>
      <c r="AT117" s="46">
        <v>46101.444444444445</v>
      </c>
      <c r="AU117" s="47" t="s">
        <v>66</v>
      </c>
    </row>
    <row r="118" spans="1:47" ht="13.5" customHeight="1" x14ac:dyDescent="0.2">
      <c r="A118" s="20" t="s">
        <v>157</v>
      </c>
      <c r="B118" s="20"/>
      <c r="C118" s="20"/>
      <c r="D118" s="20"/>
      <c r="E118" s="21">
        <v>231410</v>
      </c>
      <c r="F118" s="22">
        <v>2</v>
      </c>
      <c r="G118" s="22">
        <v>1</v>
      </c>
      <c r="H118" s="23" t="s">
        <v>159</v>
      </c>
      <c r="I118" s="20" t="s">
        <v>52</v>
      </c>
      <c r="J118" s="20"/>
      <c r="AP118" s="44" t="s">
        <v>199</v>
      </c>
      <c r="AQ118" s="44">
        <v>231410</v>
      </c>
      <c r="AR118" s="44">
        <v>2</v>
      </c>
      <c r="AS118" s="44">
        <v>1</v>
      </c>
      <c r="AT118" s="46">
        <v>46101.458333333336</v>
      </c>
      <c r="AU118" s="47" t="s">
        <v>66</v>
      </c>
    </row>
    <row r="119" spans="1:47" ht="13.5" customHeight="1" x14ac:dyDescent="0.2">
      <c r="A119" s="20" t="s">
        <v>160</v>
      </c>
      <c r="B119" s="20"/>
      <c r="C119" s="20"/>
      <c r="D119" s="20"/>
      <c r="E119" s="21">
        <v>231411</v>
      </c>
      <c r="F119" s="22">
        <v>1</v>
      </c>
      <c r="G119" s="22">
        <v>1</v>
      </c>
      <c r="H119" s="23" t="s">
        <v>57</v>
      </c>
      <c r="I119" s="20" t="s">
        <v>81</v>
      </c>
      <c r="J119" s="20"/>
      <c r="AP119" s="44" t="s">
        <v>200</v>
      </c>
      <c r="AQ119" s="44">
        <v>231411</v>
      </c>
      <c r="AR119" s="44">
        <v>1</v>
      </c>
      <c r="AS119" s="44">
        <v>1</v>
      </c>
      <c r="AT119" s="46">
        <v>46101.447916666664</v>
      </c>
      <c r="AU119" s="47" t="s">
        <v>66</v>
      </c>
    </row>
    <row r="120" spans="1:47" ht="13.5" customHeight="1" x14ac:dyDescent="0.2">
      <c r="A120" s="20" t="s">
        <v>160</v>
      </c>
      <c r="B120" s="20"/>
      <c r="C120" s="20"/>
      <c r="D120" s="20"/>
      <c r="E120" s="21">
        <v>231411</v>
      </c>
      <c r="F120" s="22">
        <v>2</v>
      </c>
      <c r="G120" s="22">
        <v>1</v>
      </c>
      <c r="H120" s="23" t="s">
        <v>161</v>
      </c>
      <c r="I120" s="20" t="s">
        <v>81</v>
      </c>
      <c r="J120" s="20"/>
      <c r="AP120" s="44" t="s">
        <v>201</v>
      </c>
      <c r="AQ120" s="44">
        <v>231411</v>
      </c>
      <c r="AR120" s="44">
        <v>2</v>
      </c>
      <c r="AS120" s="44">
        <v>1</v>
      </c>
      <c r="AT120" s="46">
        <v>46101.484027777777</v>
      </c>
      <c r="AU120" s="47" t="s">
        <v>66</v>
      </c>
    </row>
    <row r="121" spans="1:47" ht="13.5" customHeight="1" x14ac:dyDescent="0.2">
      <c r="A121" s="20" t="s">
        <v>162</v>
      </c>
      <c r="B121" s="20"/>
      <c r="C121" s="20"/>
      <c r="D121" s="20"/>
      <c r="E121" s="21">
        <v>231412</v>
      </c>
      <c r="F121" s="22">
        <v>1</v>
      </c>
      <c r="G121" s="22">
        <v>1</v>
      </c>
      <c r="H121" s="23" t="s">
        <v>163</v>
      </c>
      <c r="I121" s="20" t="s">
        <v>87</v>
      </c>
      <c r="J121" s="20"/>
      <c r="AP121" s="44" t="s">
        <v>202</v>
      </c>
      <c r="AQ121" s="44">
        <v>231412</v>
      </c>
      <c r="AR121" s="44">
        <v>1</v>
      </c>
      <c r="AS121" s="44">
        <v>1</v>
      </c>
      <c r="AT121" s="46">
        <v>46101.543055555558</v>
      </c>
      <c r="AU121" s="47" t="s">
        <v>66</v>
      </c>
    </row>
    <row r="122" spans="1:47" ht="13.5" customHeight="1" x14ac:dyDescent="0.2">
      <c r="A122" s="24" t="s">
        <v>164</v>
      </c>
      <c r="B122" s="24"/>
      <c r="C122" s="24"/>
      <c r="D122" s="24"/>
      <c r="E122" s="25">
        <v>231413</v>
      </c>
      <c r="F122" s="26">
        <v>1</v>
      </c>
      <c r="G122" s="26">
        <v>1</v>
      </c>
      <c r="H122" s="27" t="s">
        <v>60</v>
      </c>
      <c r="I122" s="24" t="s">
        <v>59</v>
      </c>
      <c r="J122" s="24"/>
      <c r="K122" s="28"/>
      <c r="L122" s="28"/>
      <c r="M122" s="28"/>
      <c r="AP122" s="44" t="s">
        <v>203</v>
      </c>
      <c r="AQ122" s="44">
        <v>231413</v>
      </c>
      <c r="AR122" s="44">
        <v>1</v>
      </c>
      <c r="AS122" s="44">
        <v>1</v>
      </c>
      <c r="AT122" s="46">
        <v>46101.459027777775</v>
      </c>
      <c r="AU122" s="47" t="s">
        <v>66</v>
      </c>
    </row>
    <row r="123" spans="1:47" ht="13.5" customHeight="1" x14ac:dyDescent="0.2">
      <c r="A123" s="24" t="s">
        <v>165</v>
      </c>
      <c r="B123" s="24"/>
      <c r="C123" s="24"/>
      <c r="D123" s="24"/>
      <c r="E123" s="25">
        <v>231425</v>
      </c>
      <c r="F123" s="26">
        <v>2</v>
      </c>
      <c r="G123" s="26">
        <v>1</v>
      </c>
      <c r="H123" s="27" t="s">
        <v>166</v>
      </c>
      <c r="I123" s="24" t="s">
        <v>59</v>
      </c>
      <c r="J123" s="24"/>
      <c r="K123" s="28"/>
      <c r="L123" s="28"/>
      <c r="M123" s="28"/>
      <c r="AP123" s="44" t="s">
        <v>204</v>
      </c>
      <c r="AQ123" s="44">
        <v>231425</v>
      </c>
      <c r="AR123" s="44">
        <v>2</v>
      </c>
      <c r="AS123" s="44">
        <v>1</v>
      </c>
      <c r="AT123" s="46">
        <v>46101.496527777781</v>
      </c>
      <c r="AU123" s="47" t="s">
        <v>66</v>
      </c>
    </row>
    <row r="124" spans="1:47" ht="13.5" customHeight="1" x14ac:dyDescent="0.2">
      <c r="A124" s="24" t="s">
        <v>167</v>
      </c>
      <c r="B124" s="24"/>
      <c r="C124" s="24"/>
      <c r="D124" s="24"/>
      <c r="E124" s="25">
        <v>231444</v>
      </c>
      <c r="F124" s="26">
        <v>1</v>
      </c>
      <c r="G124" s="26">
        <v>1</v>
      </c>
      <c r="H124" s="27" t="s">
        <v>168</v>
      </c>
      <c r="I124" s="24" t="s">
        <v>59</v>
      </c>
      <c r="J124" s="24"/>
      <c r="K124" s="28"/>
      <c r="L124" s="28"/>
      <c r="M124" s="28"/>
      <c r="AP124" s="44"/>
      <c r="AQ124" s="44"/>
      <c r="AR124" s="44"/>
      <c r="AS124" s="44"/>
      <c r="AT124" s="44"/>
      <c r="AU124" s="44"/>
    </row>
    <row r="125" spans="1:47" ht="13.5" customHeight="1" x14ac:dyDescent="0.2">
      <c r="A125" s="24" t="s">
        <v>167</v>
      </c>
      <c r="B125" s="24"/>
      <c r="C125" s="24"/>
      <c r="D125" s="24"/>
      <c r="E125" s="25">
        <v>231444</v>
      </c>
      <c r="F125" s="26">
        <v>2</v>
      </c>
      <c r="G125" s="26">
        <v>1</v>
      </c>
      <c r="H125" s="27" t="s">
        <v>60</v>
      </c>
      <c r="I125" s="24" t="s">
        <v>59</v>
      </c>
      <c r="J125" s="24"/>
      <c r="K125" s="28"/>
      <c r="L125" s="28"/>
      <c r="M125" s="28"/>
      <c r="AP125" s="44" t="s">
        <v>205</v>
      </c>
      <c r="AQ125" s="44">
        <v>231444</v>
      </c>
      <c r="AR125" s="44">
        <v>2</v>
      </c>
      <c r="AS125" s="44">
        <v>1</v>
      </c>
      <c r="AT125" s="46">
        <v>46101.581250000003</v>
      </c>
      <c r="AU125" s="47" t="s">
        <v>66</v>
      </c>
    </row>
    <row r="126" spans="1:47" ht="13.5" customHeight="1" x14ac:dyDescent="0.2">
      <c r="A126" s="24" t="s">
        <v>167</v>
      </c>
      <c r="B126" s="24"/>
      <c r="C126" s="24"/>
      <c r="D126" s="24"/>
      <c r="E126" s="25">
        <v>231445</v>
      </c>
      <c r="F126" s="26">
        <v>1</v>
      </c>
      <c r="G126" s="26">
        <v>1</v>
      </c>
      <c r="H126" s="27" t="s">
        <v>60</v>
      </c>
      <c r="I126" s="24" t="s">
        <v>59</v>
      </c>
      <c r="J126" s="24"/>
      <c r="K126" s="28"/>
      <c r="L126" s="28"/>
      <c r="M126" s="28"/>
      <c r="AP126" s="44" t="s">
        <v>206</v>
      </c>
      <c r="AQ126" s="44">
        <v>231445</v>
      </c>
      <c r="AR126" s="44">
        <v>1</v>
      </c>
      <c r="AS126" s="44">
        <v>1</v>
      </c>
      <c r="AT126" s="46">
        <v>46101.573611111111</v>
      </c>
      <c r="AU126" s="47" t="s">
        <v>66</v>
      </c>
    </row>
    <row r="127" spans="1:47" ht="13.5" customHeight="1" x14ac:dyDescent="0.2">
      <c r="A127" s="24" t="s">
        <v>167</v>
      </c>
      <c r="B127" s="24"/>
      <c r="C127" s="24"/>
      <c r="D127" s="24"/>
      <c r="E127" s="25">
        <v>231445</v>
      </c>
      <c r="F127" s="26">
        <v>2</v>
      </c>
      <c r="G127" s="26">
        <v>1</v>
      </c>
      <c r="H127" s="27" t="s">
        <v>169</v>
      </c>
      <c r="I127" s="24" t="s">
        <v>59</v>
      </c>
      <c r="J127" s="24"/>
      <c r="K127" s="28"/>
      <c r="L127" s="28"/>
      <c r="M127" s="28"/>
      <c r="AP127" s="44" t="s">
        <v>207</v>
      </c>
      <c r="AQ127" s="44">
        <v>231445</v>
      </c>
      <c r="AR127" s="44">
        <v>2</v>
      </c>
      <c r="AS127" s="44">
        <v>1</v>
      </c>
      <c r="AT127" s="46">
        <v>46101.556250000001</v>
      </c>
      <c r="AU127" s="47" t="s">
        <v>66</v>
      </c>
    </row>
    <row r="128" spans="1:47" ht="13.5" customHeight="1" x14ac:dyDescent="0.2">
      <c r="A128" s="24" t="s">
        <v>170</v>
      </c>
      <c r="B128" s="24"/>
      <c r="C128" s="24"/>
      <c r="D128" s="24"/>
      <c r="E128" s="25">
        <v>231446</v>
      </c>
      <c r="F128" s="26">
        <v>1</v>
      </c>
      <c r="G128" s="26">
        <v>1</v>
      </c>
      <c r="H128" s="27" t="s">
        <v>171</v>
      </c>
      <c r="I128" s="24" t="s">
        <v>59</v>
      </c>
      <c r="J128" s="24"/>
      <c r="K128" s="28"/>
      <c r="L128" s="28"/>
      <c r="M128" s="28"/>
      <c r="AP128" s="44" t="s">
        <v>208</v>
      </c>
      <c r="AQ128" s="44">
        <v>231446</v>
      </c>
      <c r="AR128" s="44">
        <v>1</v>
      </c>
      <c r="AS128" s="44">
        <v>1</v>
      </c>
      <c r="AT128" s="46">
        <v>46101.55972222222</v>
      </c>
      <c r="AU128" s="47" t="s">
        <v>66</v>
      </c>
    </row>
    <row r="129" spans="1:47" ht="13.5" customHeight="1" x14ac:dyDescent="0.2">
      <c r="A129" s="24" t="s">
        <v>170</v>
      </c>
      <c r="B129" s="24"/>
      <c r="C129" s="24"/>
      <c r="D129" s="24"/>
      <c r="E129" s="25">
        <v>231446</v>
      </c>
      <c r="F129" s="26">
        <v>2</v>
      </c>
      <c r="G129" s="26">
        <v>1</v>
      </c>
      <c r="H129" s="27" t="s">
        <v>172</v>
      </c>
      <c r="I129" s="24" t="s">
        <v>59</v>
      </c>
      <c r="J129" s="24"/>
      <c r="K129" s="28"/>
      <c r="L129" s="28"/>
      <c r="M129" s="28"/>
      <c r="AP129" s="44" t="s">
        <v>209</v>
      </c>
      <c r="AQ129" s="44">
        <v>231446</v>
      </c>
      <c r="AR129" s="44">
        <v>2</v>
      </c>
      <c r="AS129" s="44">
        <v>1</v>
      </c>
      <c r="AT129" s="46">
        <v>46104.47152777778</v>
      </c>
      <c r="AU129" s="47" t="s">
        <v>66</v>
      </c>
    </row>
    <row r="130" spans="1:47" ht="13.5" customHeight="1" x14ac:dyDescent="0.2">
      <c r="A130" s="24" t="s">
        <v>170</v>
      </c>
      <c r="B130" s="24"/>
      <c r="C130" s="24"/>
      <c r="D130" s="24"/>
      <c r="E130" s="25">
        <v>231447</v>
      </c>
      <c r="F130" s="26">
        <v>1</v>
      </c>
      <c r="G130" s="26">
        <v>1</v>
      </c>
      <c r="H130" s="27" t="s">
        <v>60</v>
      </c>
      <c r="I130" s="24" t="s">
        <v>59</v>
      </c>
      <c r="J130" s="24"/>
      <c r="K130" s="28"/>
      <c r="L130" s="28"/>
      <c r="M130" s="28"/>
      <c r="AP130" s="44" t="s">
        <v>210</v>
      </c>
      <c r="AQ130" s="44">
        <v>231447</v>
      </c>
      <c r="AR130" s="44">
        <v>1</v>
      </c>
      <c r="AS130" s="44">
        <v>1</v>
      </c>
      <c r="AT130" s="46">
        <v>46101.573611111111</v>
      </c>
      <c r="AU130" s="47" t="s">
        <v>66</v>
      </c>
    </row>
    <row r="131" spans="1:47" ht="13.5" customHeight="1" x14ac:dyDescent="0.2">
      <c r="A131" s="24" t="s">
        <v>170</v>
      </c>
      <c r="B131" s="24"/>
      <c r="C131" s="24"/>
      <c r="D131" s="24"/>
      <c r="E131" s="25">
        <v>231447</v>
      </c>
      <c r="F131" s="26">
        <v>2</v>
      </c>
      <c r="G131" s="26">
        <v>1</v>
      </c>
      <c r="H131" s="27" t="s">
        <v>173</v>
      </c>
      <c r="I131" s="24" t="s">
        <v>59</v>
      </c>
      <c r="J131" s="24"/>
      <c r="K131" s="28"/>
      <c r="L131" s="28"/>
      <c r="M131" s="28"/>
      <c r="AP131" s="44" t="s">
        <v>211</v>
      </c>
      <c r="AQ131" s="44">
        <v>231447</v>
      </c>
      <c r="AR131" s="44">
        <v>2</v>
      </c>
      <c r="AS131" s="44">
        <v>1</v>
      </c>
      <c r="AT131" s="46">
        <v>46101.560416666667</v>
      </c>
      <c r="AU131" s="47" t="s">
        <v>66</v>
      </c>
    </row>
    <row r="132" spans="1:47" ht="13.5" customHeight="1" x14ac:dyDescent="0.2">
      <c r="A132" s="62" t="s">
        <v>186</v>
      </c>
      <c r="B132" s="62"/>
      <c r="C132" s="62"/>
      <c r="D132" s="62"/>
      <c r="E132" s="63">
        <v>231489</v>
      </c>
      <c r="F132" s="64">
        <v>2</v>
      </c>
      <c r="G132" s="64">
        <v>1</v>
      </c>
      <c r="H132" s="65" t="s">
        <v>174</v>
      </c>
      <c r="I132" s="62" t="s">
        <v>175</v>
      </c>
      <c r="J132" s="62"/>
      <c r="K132" s="66"/>
      <c r="L132" s="66"/>
      <c r="M132" s="66"/>
    </row>
    <row r="133" spans="1:47" ht="13.5" customHeight="1" x14ac:dyDescent="0.2">
      <c r="A133" s="62" t="s">
        <v>186</v>
      </c>
      <c r="B133" s="62"/>
      <c r="C133" s="62"/>
      <c r="D133" s="62"/>
      <c r="E133" s="63">
        <v>231489</v>
      </c>
      <c r="F133" s="64">
        <v>3</v>
      </c>
      <c r="G133" s="64">
        <v>1</v>
      </c>
      <c r="H133" s="65" t="s">
        <v>176</v>
      </c>
      <c r="I133" s="62" t="s">
        <v>175</v>
      </c>
      <c r="J133" s="62"/>
      <c r="K133" s="66"/>
      <c r="L133" s="66"/>
      <c r="M133" s="66"/>
    </row>
    <row r="134" spans="1:47" ht="13.5" customHeight="1" x14ac:dyDescent="0.2">
      <c r="A134" s="62" t="s">
        <v>186</v>
      </c>
      <c r="B134" s="62"/>
      <c r="C134" s="62"/>
      <c r="D134" s="62"/>
      <c r="E134" s="63">
        <v>231489</v>
      </c>
      <c r="F134" s="64">
        <v>4</v>
      </c>
      <c r="G134" s="64">
        <v>1</v>
      </c>
      <c r="H134" s="65" t="s">
        <v>174</v>
      </c>
      <c r="I134" s="62" t="s">
        <v>175</v>
      </c>
      <c r="J134" s="62"/>
      <c r="K134" s="66"/>
      <c r="L134" s="66"/>
      <c r="M134" s="66"/>
    </row>
    <row r="135" spans="1:47" ht="13.5" customHeight="1" x14ac:dyDescent="0.2">
      <c r="A135" s="57" t="s">
        <v>61</v>
      </c>
      <c r="B135" s="57"/>
      <c r="C135" s="57"/>
      <c r="D135" s="57"/>
      <c r="E135" s="58">
        <v>231540</v>
      </c>
      <c r="F135" s="59">
        <v>1</v>
      </c>
      <c r="G135" s="59">
        <v>1</v>
      </c>
      <c r="H135" s="60" t="s">
        <v>181</v>
      </c>
      <c r="I135" s="57" t="s">
        <v>62</v>
      </c>
      <c r="J135" s="57"/>
      <c r="K135" s="61"/>
      <c r="L135" s="61"/>
      <c r="M135" s="61"/>
      <c r="N135" s="34"/>
    </row>
    <row r="136" spans="1:47" ht="12" customHeight="1" x14ac:dyDescent="0.2"/>
    <row r="137" spans="1:47" ht="12.95" customHeight="1" x14ac:dyDescent="0.2"/>
    <row r="138" spans="1:47" ht="15" customHeight="1" x14ac:dyDescent="0.2">
      <c r="J138" s="29"/>
      <c r="K138" s="30"/>
      <c r="L138" s="30"/>
      <c r="M138" s="30"/>
      <c r="N138" s="30"/>
    </row>
  </sheetData>
  <sheetProtection sheet="1" objects="1" scenarios="1" selectLockedCells="1"/>
  <mergeCells count="265">
    <mergeCell ref="A134:D134"/>
    <mergeCell ref="I134:J134"/>
    <mergeCell ref="A135:D135"/>
    <mergeCell ref="I135:J135"/>
    <mergeCell ref="A131:D131"/>
    <mergeCell ref="I131:J131"/>
    <mergeCell ref="A132:D132"/>
    <mergeCell ref="I132:J132"/>
    <mergeCell ref="A133:D133"/>
    <mergeCell ref="I133:J133"/>
    <mergeCell ref="A128:D128"/>
    <mergeCell ref="I128:J128"/>
    <mergeCell ref="A129:D129"/>
    <mergeCell ref="I129:J129"/>
    <mergeCell ref="A130:D130"/>
    <mergeCell ref="I130:J130"/>
    <mergeCell ref="A125:D125"/>
    <mergeCell ref="I125:J125"/>
    <mergeCell ref="A126:D126"/>
    <mergeCell ref="I126:J126"/>
    <mergeCell ref="A127:D127"/>
    <mergeCell ref="I127:J127"/>
    <mergeCell ref="A122:D122"/>
    <mergeCell ref="I122:J122"/>
    <mergeCell ref="A123:D123"/>
    <mergeCell ref="I123:J123"/>
    <mergeCell ref="A124:D124"/>
    <mergeCell ref="I124:J124"/>
    <mergeCell ref="A119:D119"/>
    <mergeCell ref="I119:J119"/>
    <mergeCell ref="A120:D120"/>
    <mergeCell ref="I120:J120"/>
    <mergeCell ref="A121:D121"/>
    <mergeCell ref="I121:J121"/>
    <mergeCell ref="A116:D116"/>
    <mergeCell ref="I116:J116"/>
    <mergeCell ref="A117:D117"/>
    <mergeCell ref="I117:J117"/>
    <mergeCell ref="A118:D118"/>
    <mergeCell ref="I118:J118"/>
    <mergeCell ref="A113:D113"/>
    <mergeCell ref="I113:J113"/>
    <mergeCell ref="A114:D114"/>
    <mergeCell ref="I114:J114"/>
    <mergeCell ref="A115:D115"/>
    <mergeCell ref="I115:J115"/>
    <mergeCell ref="A110:D110"/>
    <mergeCell ref="I110:J110"/>
    <mergeCell ref="A111:D111"/>
    <mergeCell ref="I111:J111"/>
    <mergeCell ref="A112:D112"/>
    <mergeCell ref="I112:J112"/>
    <mergeCell ref="A107:D107"/>
    <mergeCell ref="I107:J107"/>
    <mergeCell ref="A108:D108"/>
    <mergeCell ref="I108:J108"/>
    <mergeCell ref="A109:D109"/>
    <mergeCell ref="I109:J109"/>
    <mergeCell ref="A103:D103"/>
    <mergeCell ref="I103:J103"/>
    <mergeCell ref="A104:D104"/>
    <mergeCell ref="I104:J104"/>
    <mergeCell ref="A106:D106"/>
    <mergeCell ref="I106:J106"/>
    <mergeCell ref="A100:D100"/>
    <mergeCell ref="I100:J100"/>
    <mergeCell ref="A101:D101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10:D10"/>
    <mergeCell ref="I10:J10"/>
    <mergeCell ref="A11:D11"/>
    <mergeCell ref="I11:J11"/>
    <mergeCell ref="A12:D12"/>
    <mergeCell ref="I12:J12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FBA66-ABB3-4B7A-8A6A-B9A6B8AE4E92}">
  <sheetPr codeName="Sheet5">
    <outlinePr summaryBelow="0" summaryRight="0"/>
    <pageSetUpPr autoPageBreaks="0"/>
  </sheetPr>
  <dimension ref="A1:AV138"/>
  <sheetViews>
    <sheetView topLeftCell="B1" workbookViewId="0">
      <pane ySplit="2" topLeftCell="A3" activePane="bottomLeft" state="frozenSplit"/>
      <selection pane="bottomLeft" activeCell="O3" sqref="O3:W3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6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2" customWidth="1"/>
    <col min="16" max="16" width="20.7109375" style="4" customWidth="1"/>
    <col min="17" max="17" width="12.7109375" style="4" customWidth="1"/>
    <col min="18" max="18" width="10.7109375" style="4" customWidth="1"/>
    <col min="19" max="19" width="16.7109375" style="4" customWidth="1"/>
    <col min="20" max="20" width="25.7109375" style="5" customWidth="1"/>
    <col min="21" max="22" width="15.7109375" style="4" customWidth="1"/>
    <col min="23" max="23" width="20.7109375" style="4" customWidth="1"/>
    <col min="24" max="24" width="18.7109375" style="2" hidden="1" customWidth="1"/>
    <col min="25" max="27" width="20.7109375" style="4" hidden="1" customWidth="1"/>
    <col min="28" max="28" width="16.7109375" style="4" hidden="1" customWidth="1"/>
    <col min="29" max="29" width="25.7109375" style="5" hidden="1" customWidth="1"/>
    <col min="30" max="30" width="20.7109375" style="4" hidden="1" customWidth="1"/>
    <col min="31" max="31" width="2.7109375" style="4" hidden="1" customWidth="1"/>
    <col min="32" max="32" width="20.7109375" style="4" hidden="1" customWidth="1"/>
    <col min="33" max="33" width="15.7109375" style="4" hidden="1" customWidth="1"/>
    <col min="34" max="40" width="0" style="3" hidden="1" customWidth="1"/>
    <col min="41" max="41" width="18.7109375" style="2" hidden="1" customWidth="1"/>
    <col min="42" max="42" width="20.7109375" style="4" hidden="1" customWidth="1"/>
    <col min="43" max="43" width="12.7109375" style="4" hidden="1" customWidth="1"/>
    <col min="44" max="44" width="10.7109375" style="4" hidden="1" customWidth="1"/>
    <col min="45" max="45" width="16.7109375" style="4" hidden="1" customWidth="1"/>
    <col min="46" max="46" width="25.7109375" style="4" hidden="1" customWidth="1"/>
    <col min="47" max="47" width="15.7109375" style="4" hidden="1" customWidth="1"/>
    <col min="48" max="48" width="20.7109375" style="4" hidden="1" customWidth="1"/>
    <col min="49" max="16384" width="6.85546875" style="3"/>
  </cols>
  <sheetData>
    <row r="1" spans="1:48" s="12" customFormat="1" ht="6.75" customHeight="1" x14ac:dyDescent="0.2">
      <c r="O1" s="31"/>
      <c r="P1" s="32"/>
      <c r="Q1" s="32"/>
      <c r="R1" s="32"/>
      <c r="S1" s="32"/>
      <c r="T1" s="33"/>
      <c r="U1" s="32"/>
      <c r="V1" s="32"/>
      <c r="W1" s="32"/>
      <c r="X1" s="31"/>
      <c r="Y1" s="32"/>
      <c r="Z1" s="32"/>
      <c r="AA1" s="32"/>
      <c r="AB1" s="32"/>
      <c r="AC1" s="33"/>
      <c r="AD1" s="32"/>
      <c r="AE1" s="32"/>
      <c r="AF1" s="32"/>
      <c r="AG1" s="32"/>
      <c r="AO1" s="31"/>
      <c r="AP1" s="32"/>
      <c r="AQ1" s="32"/>
      <c r="AR1" s="32"/>
      <c r="AS1" s="32"/>
      <c r="AT1" s="32"/>
      <c r="AU1" s="32"/>
      <c r="AV1" s="32"/>
    </row>
    <row r="2" spans="1:48" s="12" customFormat="1" ht="24" customHeight="1" x14ac:dyDescent="0.2">
      <c r="D2" s="13" t="s">
        <v>0</v>
      </c>
      <c r="E2" s="13"/>
      <c r="F2" s="13"/>
      <c r="G2" s="13"/>
      <c r="H2" s="13"/>
      <c r="I2" s="14" t="s">
        <v>70</v>
      </c>
      <c r="J2" s="14"/>
      <c r="K2" s="14"/>
      <c r="L2" s="14"/>
      <c r="O2" s="54" t="str">
        <f ca="1">"Outbound: "&amp;SUMPRODUCT(SUBTOTAL(103,OFFSET($E$6,ROW($E$6:$E$135)-ROW($E$6),0,1)),--($U$6:$U$135="OK"),--($E$6:$E$135&lt;&gt;""))&amp;"/"&amp;SUMPRODUCT(SUBTOTAL(103,OFFSET($E$6,ROW($E$6:$E$135)-ROW($E$6),0,1)),--($E$6:$E$135&lt;&gt;""))&amp;" • "&amp;TEXT(IFERROR(SUMPRODUCT(SUBTOTAL(103,OFFSET($E$6,ROW($E$6:$E$135)-ROW($E$6),0,1)),--((($V$6:$V$135="On-Time")+($V$6:$V$135="Early"))&gt;0),--($E$6:$E$135&lt;&gt;""))/SUMPRODUCT(SUBTOTAL(103,OFFSET($E$6,ROW($E$6:$E$135)-ROW($E$6),0,1)),--($E$6:$E$135&lt;&gt;"")),0),"0.0%")&amp;" On Time"</f>
        <v>Outbound: 1/127 • 0.8% On Time</v>
      </c>
      <c r="P2" s="54"/>
      <c r="Q2" s="54"/>
      <c r="R2" s="54"/>
      <c r="S2" s="54"/>
      <c r="T2" s="54"/>
      <c r="U2" s="54"/>
      <c r="V2" s="54"/>
      <c r="W2" s="54"/>
      <c r="X2" s="55" t="str">
        <f ca="1">"Inbound: "&amp;SUMPRODUCT(SUBTOTAL(103,OFFSET($E$6,ROW($E$6:$E$135)-ROW($E$6),0,1)),--($AD$6:$AD$135="Received"),--($E$6:$E$135&lt;&gt;""))&amp;"/"&amp;SUMPRODUCT(SUBTOTAL(103,OFFSET($E$6,ROW($E$6:$E$135)-ROW($E$6),0,1)),--($E$6:$E$135&lt;&gt;""))&amp;" • "&amp;TEXT(IFERROR(SUMPRODUCT(SUBTOTAL(103,OFFSET($E$6,ROW($E$6:$E$135)-ROW($E$6),0,1)),--($AD$6:$AD$135="Received"),--($E$6:$E$135&lt;&gt;""))/SUMPRODUCT(SUBTOTAL(103,OFFSET($E$6,ROW($E$6:$E$135)-ROW($E$6),0,1)),--($E$6:$E$135&lt;&gt;"")),0),"0.0%")&amp;" Complete"</f>
        <v>Inbound: 0/127 • 0.0% Complete</v>
      </c>
      <c r="Y2" s="55"/>
      <c r="Z2" s="55"/>
      <c r="AA2" s="55"/>
      <c r="AB2" s="55"/>
      <c r="AC2" s="55"/>
      <c r="AD2" s="55"/>
      <c r="AE2" s="55"/>
      <c r="AF2" s="55"/>
      <c r="AG2" s="55"/>
      <c r="AO2" s="56" t="str">
        <f ca="1">"Staged: "&amp;SUMPRODUCT(SUBTOTAL(103,OFFSET($E$6,ROW($E$6:$E$135)-ROW($E$6),0,1)),--($AU$6:$AU$135="OK"),--($E$6:$E$135&lt;&gt;""))&amp;"/"&amp;SUMPRODUCT(SUBTOTAL(103,OFFSET($E$6,ROW($E$6:$E$135)-ROW($E$6),0,1)),--($E$6:$E$135&lt;&gt;""))&amp;" • "&amp;TEXT(IFERROR(SUMPRODUCT(SUBTOTAL(103,OFFSET($E$6,ROW($E$6:$E$135)-ROW($E$6),0,1)),--($AU$6:$AU$135="OK"),--($E$6:$E$135&lt;&gt;""))/SUMPRODUCT(SUBTOTAL(103,OFFSET($E$6,ROW($E$6:$E$135)-ROW($E$6),0,1)),--($E$6:$E$135&lt;&gt;"")),0),"0.0%")&amp;" Complete"</f>
        <v>Staged: 24/127 • 18.9% Complete</v>
      </c>
      <c r="AP2" s="56"/>
      <c r="AQ2" s="56"/>
      <c r="AR2" s="56"/>
      <c r="AS2" s="56"/>
      <c r="AT2" s="56"/>
      <c r="AU2" s="56"/>
      <c r="AV2" s="56"/>
    </row>
    <row r="3" spans="1:48" ht="85.5" customHeight="1" x14ac:dyDescent="0.2">
      <c r="O3" s="9" t="s">
        <v>36</v>
      </c>
      <c r="P3" s="10"/>
      <c r="Q3" s="10"/>
      <c r="R3" s="10"/>
      <c r="S3" s="10"/>
      <c r="T3" s="10"/>
      <c r="U3" s="10"/>
      <c r="V3" s="10"/>
      <c r="W3" s="10"/>
      <c r="X3" s="9" t="s">
        <v>38</v>
      </c>
      <c r="Y3" s="10"/>
      <c r="Z3" s="10"/>
      <c r="AA3" s="10"/>
      <c r="AB3" s="10"/>
      <c r="AC3" s="10"/>
      <c r="AD3" s="10"/>
      <c r="AE3" s="10"/>
      <c r="AF3" s="10"/>
      <c r="AG3" s="10"/>
      <c r="AO3" s="9" t="s">
        <v>37</v>
      </c>
      <c r="AP3" s="10"/>
      <c r="AQ3" s="10"/>
      <c r="AR3" s="10"/>
      <c r="AS3" s="10"/>
      <c r="AT3" s="10"/>
      <c r="AU3" s="10"/>
      <c r="AV3" s="10"/>
    </row>
    <row r="4" spans="1:48" ht="20.100000000000001" customHeight="1" x14ac:dyDescent="0.2">
      <c r="O4" s="6" t="s">
        <v>9</v>
      </c>
      <c r="P4" s="11"/>
      <c r="X4" s="6" t="s">
        <v>9</v>
      </c>
      <c r="Y4" s="11"/>
      <c r="AO4" s="6" t="s">
        <v>9</v>
      </c>
      <c r="AP4" s="11"/>
      <c r="AT4" s="5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64</v>
      </c>
      <c r="M5" s="18"/>
      <c r="P5" s="7" t="s">
        <v>10</v>
      </c>
      <c r="Q5" s="7" t="s">
        <v>2</v>
      </c>
      <c r="R5" s="7" t="s">
        <v>3</v>
      </c>
      <c r="S5" s="7" t="s">
        <v>11</v>
      </c>
      <c r="T5" s="8" t="s">
        <v>12</v>
      </c>
      <c r="U5" s="7" t="s">
        <v>13</v>
      </c>
      <c r="V5" s="7" t="s">
        <v>14</v>
      </c>
      <c r="W5" s="7" t="s">
        <v>15</v>
      </c>
      <c r="Y5" s="7" t="s">
        <v>16</v>
      </c>
      <c r="Z5" s="7" t="s">
        <v>17</v>
      </c>
      <c r="AA5" s="7" t="s">
        <v>18</v>
      </c>
      <c r="AB5" s="7" t="s">
        <v>19</v>
      </c>
      <c r="AC5" s="8" t="s">
        <v>20</v>
      </c>
      <c r="AD5" s="7" t="s">
        <v>21</v>
      </c>
      <c r="AE5" s="7"/>
      <c r="AF5" s="7" t="s">
        <v>15</v>
      </c>
      <c r="AG5" s="7" t="s">
        <v>22</v>
      </c>
      <c r="AP5" s="7" t="s">
        <v>10</v>
      </c>
      <c r="AQ5" s="7" t="s">
        <v>2</v>
      </c>
      <c r="AR5" s="7" t="s">
        <v>3</v>
      </c>
      <c r="AS5" s="7" t="s">
        <v>11</v>
      </c>
      <c r="AT5" s="7" t="s">
        <v>12</v>
      </c>
      <c r="AU5" s="7" t="s">
        <v>13</v>
      </c>
      <c r="AV5" s="7" t="s">
        <v>15</v>
      </c>
    </row>
    <row r="6" spans="1:48" ht="8.25" customHeight="1" x14ac:dyDescent="0.2"/>
    <row r="7" spans="1:48" ht="13.5" customHeight="1" x14ac:dyDescent="0.2">
      <c r="A7" s="19" t="s">
        <v>7</v>
      </c>
    </row>
    <row r="8" spans="1:48" ht="13.5" customHeight="1" x14ac:dyDescent="0.2">
      <c r="A8" s="20" t="s">
        <v>71</v>
      </c>
      <c r="B8" s="20"/>
      <c r="C8" s="20"/>
      <c r="D8" s="20"/>
      <c r="E8" s="21">
        <v>231377</v>
      </c>
      <c r="F8" s="22">
        <v>1</v>
      </c>
      <c r="G8" s="22">
        <v>1</v>
      </c>
      <c r="H8" s="23" t="s">
        <v>72</v>
      </c>
      <c r="I8" s="20" t="s">
        <v>73</v>
      </c>
      <c r="J8" s="20"/>
    </row>
    <row r="9" spans="1:48" ht="13.5" customHeight="1" x14ac:dyDescent="0.2">
      <c r="A9" s="20" t="s">
        <v>71</v>
      </c>
      <c r="B9" s="20"/>
      <c r="C9" s="20"/>
      <c r="D9" s="20"/>
      <c r="E9" s="21">
        <v>231377</v>
      </c>
      <c r="F9" s="22">
        <v>2</v>
      </c>
      <c r="G9" s="22">
        <v>1</v>
      </c>
      <c r="H9" s="23" t="s">
        <v>74</v>
      </c>
      <c r="I9" s="20" t="s">
        <v>73</v>
      </c>
      <c r="J9" s="20"/>
    </row>
    <row r="10" spans="1:48" ht="13.5" customHeight="1" x14ac:dyDescent="0.2">
      <c r="A10" s="20" t="s">
        <v>75</v>
      </c>
      <c r="B10" s="20"/>
      <c r="C10" s="20"/>
      <c r="D10" s="20"/>
      <c r="E10" s="21">
        <v>231378</v>
      </c>
      <c r="F10" s="22">
        <v>1</v>
      </c>
      <c r="G10" s="22">
        <v>2</v>
      </c>
      <c r="H10" s="23" t="s">
        <v>72</v>
      </c>
      <c r="I10" s="20" t="s">
        <v>73</v>
      </c>
      <c r="J10" s="20"/>
    </row>
    <row r="11" spans="1:48" ht="13.5" customHeight="1" x14ac:dyDescent="0.2">
      <c r="A11" s="20" t="s">
        <v>75</v>
      </c>
      <c r="B11" s="20"/>
      <c r="C11" s="20"/>
      <c r="D11" s="20"/>
      <c r="E11" s="21">
        <v>231378</v>
      </c>
      <c r="F11" s="22">
        <v>2</v>
      </c>
      <c r="G11" s="22">
        <v>1</v>
      </c>
      <c r="H11" s="23" t="s">
        <v>74</v>
      </c>
      <c r="I11" s="20" t="s">
        <v>73</v>
      </c>
      <c r="J11" s="20"/>
    </row>
    <row r="12" spans="1:48" ht="13.5" customHeight="1" x14ac:dyDescent="0.2">
      <c r="A12" s="20" t="s">
        <v>76</v>
      </c>
      <c r="B12" s="20"/>
      <c r="C12" s="20"/>
      <c r="D12" s="20"/>
      <c r="E12" s="21">
        <v>231380</v>
      </c>
      <c r="F12" s="22">
        <v>1</v>
      </c>
      <c r="G12" s="22">
        <v>1</v>
      </c>
      <c r="H12" s="23" t="s">
        <v>51</v>
      </c>
      <c r="I12" s="20" t="s">
        <v>52</v>
      </c>
      <c r="J12" s="20"/>
    </row>
    <row r="13" spans="1:48" ht="13.5" customHeight="1" x14ac:dyDescent="0.2">
      <c r="A13" s="20" t="s">
        <v>76</v>
      </c>
      <c r="B13" s="20"/>
      <c r="C13" s="20"/>
      <c r="D13" s="20"/>
      <c r="E13" s="21">
        <v>231380</v>
      </c>
      <c r="F13" s="22">
        <v>2</v>
      </c>
      <c r="G13" s="22">
        <v>1</v>
      </c>
      <c r="H13" s="23" t="s">
        <v>77</v>
      </c>
      <c r="I13" s="20" t="s">
        <v>52</v>
      </c>
      <c r="J13" s="20"/>
    </row>
    <row r="14" spans="1:48" ht="13.5" customHeight="1" x14ac:dyDescent="0.2">
      <c r="A14" s="20" t="s">
        <v>76</v>
      </c>
      <c r="B14" s="20"/>
      <c r="C14" s="20"/>
      <c r="D14" s="20"/>
      <c r="E14" s="21">
        <v>231380</v>
      </c>
      <c r="F14" s="22">
        <v>3</v>
      </c>
      <c r="G14" s="22">
        <v>1</v>
      </c>
      <c r="H14" s="23" t="s">
        <v>78</v>
      </c>
      <c r="I14" s="20" t="s">
        <v>52</v>
      </c>
      <c r="J14" s="20"/>
    </row>
    <row r="15" spans="1:48" ht="13.5" customHeight="1" x14ac:dyDescent="0.2">
      <c r="A15" s="20" t="s">
        <v>76</v>
      </c>
      <c r="B15" s="20"/>
      <c r="C15" s="20"/>
      <c r="D15" s="20"/>
      <c r="E15" s="21">
        <v>231380</v>
      </c>
      <c r="F15" s="22">
        <v>4</v>
      </c>
      <c r="G15" s="22">
        <v>1</v>
      </c>
      <c r="H15" s="23" t="s">
        <v>79</v>
      </c>
      <c r="I15" s="20" t="s">
        <v>52</v>
      </c>
      <c r="J15" s="20"/>
    </row>
    <row r="16" spans="1:48" ht="13.5" customHeight="1" x14ac:dyDescent="0.2">
      <c r="A16" s="20" t="s">
        <v>76</v>
      </c>
      <c r="B16" s="20"/>
      <c r="C16" s="20"/>
      <c r="D16" s="20"/>
      <c r="E16" s="21">
        <v>231380</v>
      </c>
      <c r="F16" s="22">
        <v>5</v>
      </c>
      <c r="G16" s="22">
        <v>1</v>
      </c>
      <c r="H16" s="23" t="s">
        <v>50</v>
      </c>
      <c r="I16" s="20" t="s">
        <v>52</v>
      </c>
      <c r="J16" s="20"/>
    </row>
    <row r="17" spans="1:10" ht="13.5" customHeight="1" x14ac:dyDescent="0.2">
      <c r="A17" s="20" t="s">
        <v>80</v>
      </c>
      <c r="B17" s="20"/>
      <c r="C17" s="20"/>
      <c r="D17" s="20"/>
      <c r="E17" s="21">
        <v>231381</v>
      </c>
      <c r="F17" s="22">
        <v>1</v>
      </c>
      <c r="G17" s="22">
        <v>1</v>
      </c>
      <c r="H17" s="23" t="s">
        <v>48</v>
      </c>
      <c r="I17" s="20" t="s">
        <v>81</v>
      </c>
      <c r="J17" s="20"/>
    </row>
    <row r="18" spans="1:10" ht="13.5" customHeight="1" x14ac:dyDescent="0.2">
      <c r="A18" s="20" t="s">
        <v>80</v>
      </c>
      <c r="B18" s="20"/>
      <c r="C18" s="20"/>
      <c r="D18" s="20"/>
      <c r="E18" s="21">
        <v>231381</v>
      </c>
      <c r="F18" s="22">
        <v>2</v>
      </c>
      <c r="G18" s="22">
        <v>1</v>
      </c>
      <c r="H18" s="23" t="s">
        <v>82</v>
      </c>
      <c r="I18" s="20" t="s">
        <v>81</v>
      </c>
      <c r="J18" s="20"/>
    </row>
    <row r="19" spans="1:10" ht="13.5" customHeight="1" x14ac:dyDescent="0.2">
      <c r="A19" s="20" t="s">
        <v>80</v>
      </c>
      <c r="B19" s="20"/>
      <c r="C19" s="20"/>
      <c r="D19" s="20"/>
      <c r="E19" s="21">
        <v>231381</v>
      </c>
      <c r="F19" s="22">
        <v>3</v>
      </c>
      <c r="G19" s="22">
        <v>1</v>
      </c>
      <c r="H19" s="23" t="s">
        <v>83</v>
      </c>
      <c r="I19" s="20" t="s">
        <v>81</v>
      </c>
      <c r="J19" s="20"/>
    </row>
    <row r="20" spans="1:10" ht="13.5" customHeight="1" x14ac:dyDescent="0.2">
      <c r="A20" s="20" t="s">
        <v>80</v>
      </c>
      <c r="B20" s="20"/>
      <c r="C20" s="20"/>
      <c r="D20" s="20"/>
      <c r="E20" s="21">
        <v>231381</v>
      </c>
      <c r="F20" s="22">
        <v>4</v>
      </c>
      <c r="G20" s="22">
        <v>2</v>
      </c>
      <c r="H20" s="23" t="s">
        <v>84</v>
      </c>
      <c r="I20" s="20" t="s">
        <v>81</v>
      </c>
      <c r="J20" s="20"/>
    </row>
    <row r="21" spans="1:10" ht="13.5" customHeight="1" x14ac:dyDescent="0.2">
      <c r="A21" s="20" t="s">
        <v>85</v>
      </c>
      <c r="B21" s="20"/>
      <c r="C21" s="20"/>
      <c r="D21" s="20"/>
      <c r="E21" s="21">
        <v>231382</v>
      </c>
      <c r="F21" s="22">
        <v>1</v>
      </c>
      <c r="G21" s="22">
        <v>1</v>
      </c>
      <c r="H21" s="23" t="s">
        <v>86</v>
      </c>
      <c r="I21" s="20" t="s">
        <v>87</v>
      </c>
      <c r="J21" s="20"/>
    </row>
    <row r="22" spans="1:10" ht="13.5" customHeight="1" x14ac:dyDescent="0.2">
      <c r="A22" s="20" t="s">
        <v>85</v>
      </c>
      <c r="B22" s="20"/>
      <c r="C22" s="20"/>
      <c r="D22" s="20"/>
      <c r="E22" s="21">
        <v>231382</v>
      </c>
      <c r="F22" s="22">
        <v>2</v>
      </c>
      <c r="G22" s="22">
        <v>1</v>
      </c>
      <c r="H22" s="23" t="s">
        <v>88</v>
      </c>
      <c r="I22" s="20" t="s">
        <v>87</v>
      </c>
      <c r="J22" s="20"/>
    </row>
    <row r="23" spans="1:10" ht="13.5" customHeight="1" x14ac:dyDescent="0.2">
      <c r="A23" s="20" t="s">
        <v>85</v>
      </c>
      <c r="B23" s="20"/>
      <c r="C23" s="20"/>
      <c r="D23" s="20"/>
      <c r="E23" s="21">
        <v>231382</v>
      </c>
      <c r="F23" s="22">
        <v>3</v>
      </c>
      <c r="G23" s="22">
        <v>1</v>
      </c>
      <c r="H23" s="23" t="s">
        <v>89</v>
      </c>
      <c r="I23" s="20" t="s">
        <v>87</v>
      </c>
      <c r="J23" s="20"/>
    </row>
    <row r="24" spans="1:10" ht="13.5" customHeight="1" x14ac:dyDescent="0.2">
      <c r="A24" s="20" t="s">
        <v>71</v>
      </c>
      <c r="B24" s="20"/>
      <c r="C24" s="20"/>
      <c r="D24" s="20"/>
      <c r="E24" s="21">
        <v>231397</v>
      </c>
      <c r="F24" s="22">
        <v>1</v>
      </c>
      <c r="G24" s="22">
        <v>1</v>
      </c>
      <c r="H24" s="23" t="s">
        <v>72</v>
      </c>
      <c r="I24" s="20" t="s">
        <v>73</v>
      </c>
      <c r="J24" s="20"/>
    </row>
    <row r="25" spans="1:10" ht="13.5" customHeight="1" x14ac:dyDescent="0.2">
      <c r="A25" s="20" t="s">
        <v>71</v>
      </c>
      <c r="B25" s="20"/>
      <c r="C25" s="20"/>
      <c r="D25" s="20"/>
      <c r="E25" s="21">
        <v>231397</v>
      </c>
      <c r="F25" s="22">
        <v>2</v>
      </c>
      <c r="G25" s="22">
        <v>1</v>
      </c>
      <c r="H25" s="23" t="s">
        <v>74</v>
      </c>
      <c r="I25" s="20" t="s">
        <v>73</v>
      </c>
      <c r="J25" s="20"/>
    </row>
    <row r="26" spans="1:10" ht="13.5" customHeight="1" x14ac:dyDescent="0.2">
      <c r="A26" s="20" t="s">
        <v>75</v>
      </c>
      <c r="B26" s="20"/>
      <c r="C26" s="20"/>
      <c r="D26" s="20"/>
      <c r="E26" s="21">
        <v>231398</v>
      </c>
      <c r="F26" s="22">
        <v>1</v>
      </c>
      <c r="G26" s="22">
        <v>2</v>
      </c>
      <c r="H26" s="23" t="s">
        <v>72</v>
      </c>
      <c r="I26" s="20" t="s">
        <v>73</v>
      </c>
      <c r="J26" s="20"/>
    </row>
    <row r="27" spans="1:10" ht="13.5" customHeight="1" x14ac:dyDescent="0.2">
      <c r="A27" s="20" t="s">
        <v>75</v>
      </c>
      <c r="B27" s="20"/>
      <c r="C27" s="20"/>
      <c r="D27" s="20"/>
      <c r="E27" s="21">
        <v>231398</v>
      </c>
      <c r="F27" s="22">
        <v>2</v>
      </c>
      <c r="G27" s="22">
        <v>1</v>
      </c>
      <c r="H27" s="23" t="s">
        <v>74</v>
      </c>
      <c r="I27" s="20" t="s">
        <v>73</v>
      </c>
      <c r="J27" s="20"/>
    </row>
    <row r="28" spans="1:10" ht="13.5" customHeight="1" x14ac:dyDescent="0.2">
      <c r="A28" s="20" t="s">
        <v>76</v>
      </c>
      <c r="B28" s="20"/>
      <c r="C28" s="20"/>
      <c r="D28" s="20"/>
      <c r="E28" s="21">
        <v>231399</v>
      </c>
      <c r="F28" s="22">
        <v>1</v>
      </c>
      <c r="G28" s="22">
        <v>1</v>
      </c>
      <c r="H28" s="23" t="s">
        <v>51</v>
      </c>
      <c r="I28" s="20" t="s">
        <v>52</v>
      </c>
      <c r="J28" s="20"/>
    </row>
    <row r="29" spans="1:10" ht="13.5" customHeight="1" x14ac:dyDescent="0.2">
      <c r="A29" s="20" t="s">
        <v>76</v>
      </c>
      <c r="B29" s="20"/>
      <c r="C29" s="20"/>
      <c r="D29" s="20"/>
      <c r="E29" s="21">
        <v>231399</v>
      </c>
      <c r="F29" s="22">
        <v>2</v>
      </c>
      <c r="G29" s="22">
        <v>1</v>
      </c>
      <c r="H29" s="23" t="s">
        <v>77</v>
      </c>
      <c r="I29" s="20" t="s">
        <v>52</v>
      </c>
      <c r="J29" s="20"/>
    </row>
    <row r="30" spans="1:10" ht="13.5" customHeight="1" x14ac:dyDescent="0.2">
      <c r="A30" s="20" t="s">
        <v>76</v>
      </c>
      <c r="B30" s="20"/>
      <c r="C30" s="20"/>
      <c r="D30" s="20"/>
      <c r="E30" s="21">
        <v>231399</v>
      </c>
      <c r="F30" s="22">
        <v>3</v>
      </c>
      <c r="G30" s="22">
        <v>1</v>
      </c>
      <c r="H30" s="23" t="s">
        <v>78</v>
      </c>
      <c r="I30" s="20" t="s">
        <v>52</v>
      </c>
      <c r="J30" s="20"/>
    </row>
    <row r="31" spans="1:10" ht="13.5" customHeight="1" x14ac:dyDescent="0.2">
      <c r="A31" s="20" t="s">
        <v>76</v>
      </c>
      <c r="B31" s="20"/>
      <c r="C31" s="20"/>
      <c r="D31" s="20"/>
      <c r="E31" s="21">
        <v>231399</v>
      </c>
      <c r="F31" s="22">
        <v>4</v>
      </c>
      <c r="G31" s="22">
        <v>1</v>
      </c>
      <c r="H31" s="23" t="s">
        <v>79</v>
      </c>
      <c r="I31" s="20" t="s">
        <v>52</v>
      </c>
      <c r="J31" s="20"/>
    </row>
    <row r="32" spans="1:10" ht="13.5" customHeight="1" x14ac:dyDescent="0.2">
      <c r="A32" s="20" t="s">
        <v>76</v>
      </c>
      <c r="B32" s="20"/>
      <c r="C32" s="20"/>
      <c r="D32" s="20"/>
      <c r="E32" s="21">
        <v>231399</v>
      </c>
      <c r="F32" s="22">
        <v>5</v>
      </c>
      <c r="G32" s="22">
        <v>1</v>
      </c>
      <c r="H32" s="23" t="s">
        <v>50</v>
      </c>
      <c r="I32" s="20" t="s">
        <v>52</v>
      </c>
      <c r="J32" s="20"/>
    </row>
    <row r="33" spans="1:10" ht="13.5" customHeight="1" x14ac:dyDescent="0.2">
      <c r="A33" s="20" t="s">
        <v>80</v>
      </c>
      <c r="B33" s="20"/>
      <c r="C33" s="20"/>
      <c r="D33" s="20"/>
      <c r="E33" s="21">
        <v>231400</v>
      </c>
      <c r="F33" s="22">
        <v>1</v>
      </c>
      <c r="G33" s="22">
        <v>1</v>
      </c>
      <c r="H33" s="23" t="s">
        <v>48</v>
      </c>
      <c r="I33" s="20" t="s">
        <v>81</v>
      </c>
      <c r="J33" s="20"/>
    </row>
    <row r="34" spans="1:10" ht="13.5" customHeight="1" x14ac:dyDescent="0.2">
      <c r="A34" s="20" t="s">
        <v>80</v>
      </c>
      <c r="B34" s="20"/>
      <c r="C34" s="20"/>
      <c r="D34" s="20"/>
      <c r="E34" s="21">
        <v>231400</v>
      </c>
      <c r="F34" s="22">
        <v>2</v>
      </c>
      <c r="G34" s="22">
        <v>1</v>
      </c>
      <c r="H34" s="23" t="s">
        <v>82</v>
      </c>
      <c r="I34" s="20" t="s">
        <v>81</v>
      </c>
      <c r="J34" s="20"/>
    </row>
    <row r="35" spans="1:10" ht="13.5" customHeight="1" x14ac:dyDescent="0.2">
      <c r="A35" s="20" t="s">
        <v>80</v>
      </c>
      <c r="B35" s="20"/>
      <c r="C35" s="20"/>
      <c r="D35" s="20"/>
      <c r="E35" s="21">
        <v>231400</v>
      </c>
      <c r="F35" s="22">
        <v>3</v>
      </c>
      <c r="G35" s="22">
        <v>1</v>
      </c>
      <c r="H35" s="23" t="s">
        <v>83</v>
      </c>
      <c r="I35" s="20" t="s">
        <v>81</v>
      </c>
      <c r="J35" s="20"/>
    </row>
    <row r="36" spans="1:10" ht="13.5" customHeight="1" x14ac:dyDescent="0.2">
      <c r="A36" s="20" t="s">
        <v>80</v>
      </c>
      <c r="B36" s="20"/>
      <c r="C36" s="20"/>
      <c r="D36" s="20"/>
      <c r="E36" s="21">
        <v>231400</v>
      </c>
      <c r="F36" s="22">
        <v>4</v>
      </c>
      <c r="G36" s="22">
        <v>2</v>
      </c>
      <c r="H36" s="23" t="s">
        <v>84</v>
      </c>
      <c r="I36" s="20" t="s">
        <v>81</v>
      </c>
      <c r="J36" s="20"/>
    </row>
    <row r="37" spans="1:10" ht="13.5" customHeight="1" x14ac:dyDescent="0.2">
      <c r="A37" s="20" t="s">
        <v>85</v>
      </c>
      <c r="B37" s="20"/>
      <c r="C37" s="20"/>
      <c r="D37" s="20"/>
      <c r="E37" s="21">
        <v>231401</v>
      </c>
      <c r="F37" s="22">
        <v>1</v>
      </c>
      <c r="G37" s="22">
        <v>1</v>
      </c>
      <c r="H37" s="23" t="s">
        <v>86</v>
      </c>
      <c r="I37" s="20" t="s">
        <v>87</v>
      </c>
      <c r="J37" s="20"/>
    </row>
    <row r="38" spans="1:10" ht="13.5" customHeight="1" x14ac:dyDescent="0.2">
      <c r="A38" s="20" t="s">
        <v>85</v>
      </c>
      <c r="B38" s="20"/>
      <c r="C38" s="20"/>
      <c r="D38" s="20"/>
      <c r="E38" s="21">
        <v>231401</v>
      </c>
      <c r="F38" s="22">
        <v>2</v>
      </c>
      <c r="G38" s="22">
        <v>1</v>
      </c>
      <c r="H38" s="23" t="s">
        <v>88</v>
      </c>
      <c r="I38" s="20" t="s">
        <v>87</v>
      </c>
      <c r="J38" s="20"/>
    </row>
    <row r="39" spans="1:10" ht="13.5" customHeight="1" x14ac:dyDescent="0.2">
      <c r="A39" s="20" t="s">
        <v>85</v>
      </c>
      <c r="B39" s="20"/>
      <c r="C39" s="20"/>
      <c r="D39" s="20"/>
      <c r="E39" s="21">
        <v>231401</v>
      </c>
      <c r="F39" s="22">
        <v>3</v>
      </c>
      <c r="G39" s="22">
        <v>1</v>
      </c>
      <c r="H39" s="23" t="s">
        <v>89</v>
      </c>
      <c r="I39" s="20" t="s">
        <v>87</v>
      </c>
      <c r="J39" s="20"/>
    </row>
    <row r="40" spans="1:10" ht="13.5" customHeight="1" x14ac:dyDescent="0.2">
      <c r="A40" s="20" t="s">
        <v>90</v>
      </c>
      <c r="B40" s="20"/>
      <c r="C40" s="20"/>
      <c r="D40" s="20"/>
      <c r="E40" s="21">
        <v>231491</v>
      </c>
      <c r="F40" s="22">
        <v>1</v>
      </c>
      <c r="G40" s="22">
        <v>1</v>
      </c>
      <c r="H40" s="23" t="s">
        <v>91</v>
      </c>
      <c r="I40" s="20" t="s">
        <v>65</v>
      </c>
      <c r="J40" s="20"/>
    </row>
    <row r="41" spans="1:10" ht="13.5" customHeight="1" x14ac:dyDescent="0.2">
      <c r="A41" s="20" t="s">
        <v>90</v>
      </c>
      <c r="B41" s="20"/>
      <c r="C41" s="20"/>
      <c r="D41" s="20"/>
      <c r="E41" s="21">
        <v>231491</v>
      </c>
      <c r="F41" s="22">
        <v>2</v>
      </c>
      <c r="G41" s="22">
        <v>1</v>
      </c>
      <c r="H41" s="23" t="s">
        <v>92</v>
      </c>
      <c r="I41" s="20" t="s">
        <v>65</v>
      </c>
      <c r="J41" s="20"/>
    </row>
    <row r="42" spans="1:10" ht="13.5" customHeight="1" x14ac:dyDescent="0.2">
      <c r="A42" s="20" t="s">
        <v>93</v>
      </c>
      <c r="B42" s="20"/>
      <c r="C42" s="20"/>
      <c r="D42" s="20"/>
      <c r="E42" s="21">
        <v>231492</v>
      </c>
      <c r="F42" s="22">
        <v>1</v>
      </c>
      <c r="G42" s="22">
        <v>1</v>
      </c>
      <c r="H42" s="23" t="s">
        <v>94</v>
      </c>
      <c r="I42" s="20" t="s">
        <v>65</v>
      </c>
      <c r="J42" s="20"/>
    </row>
    <row r="43" spans="1:10" ht="13.5" customHeight="1" x14ac:dyDescent="0.2">
      <c r="A43" s="20" t="s">
        <v>93</v>
      </c>
      <c r="B43" s="20"/>
      <c r="C43" s="20"/>
      <c r="D43" s="20"/>
      <c r="E43" s="21">
        <v>231492</v>
      </c>
      <c r="F43" s="22">
        <v>2</v>
      </c>
      <c r="G43" s="22">
        <v>1</v>
      </c>
      <c r="H43" s="23" t="s">
        <v>95</v>
      </c>
      <c r="I43" s="20" t="s">
        <v>65</v>
      </c>
      <c r="J43" s="20"/>
    </row>
    <row r="44" spans="1:10" ht="13.5" customHeight="1" x14ac:dyDescent="0.2">
      <c r="A44" s="20" t="s">
        <v>96</v>
      </c>
      <c r="B44" s="20"/>
      <c r="C44" s="20"/>
      <c r="D44" s="20"/>
      <c r="E44" s="21">
        <v>231493</v>
      </c>
      <c r="F44" s="22">
        <v>1</v>
      </c>
      <c r="G44" s="22">
        <v>1</v>
      </c>
      <c r="H44" s="23" t="s">
        <v>97</v>
      </c>
      <c r="I44" s="20" t="s">
        <v>65</v>
      </c>
      <c r="J44" s="20"/>
    </row>
    <row r="45" spans="1:10" ht="13.5" customHeight="1" x14ac:dyDescent="0.2">
      <c r="A45" s="20" t="s">
        <v>96</v>
      </c>
      <c r="B45" s="20"/>
      <c r="C45" s="20"/>
      <c r="D45" s="20"/>
      <c r="E45" s="21">
        <v>231493</v>
      </c>
      <c r="F45" s="22">
        <v>2</v>
      </c>
      <c r="G45" s="22">
        <v>1</v>
      </c>
      <c r="H45" s="23" t="s">
        <v>98</v>
      </c>
      <c r="I45" s="20" t="s">
        <v>65</v>
      </c>
      <c r="J45" s="20"/>
    </row>
    <row r="46" spans="1:10" ht="13.5" customHeight="1" x14ac:dyDescent="0.2">
      <c r="A46" s="20" t="s">
        <v>96</v>
      </c>
      <c r="B46" s="20"/>
      <c r="C46" s="20"/>
      <c r="D46" s="20"/>
      <c r="E46" s="21">
        <v>231493</v>
      </c>
      <c r="F46" s="22">
        <v>3</v>
      </c>
      <c r="G46" s="22">
        <v>1</v>
      </c>
      <c r="H46" s="23" t="s">
        <v>99</v>
      </c>
      <c r="I46" s="20" t="s">
        <v>65</v>
      </c>
      <c r="J46" s="20"/>
    </row>
    <row r="47" spans="1:10" ht="13.5" customHeight="1" x14ac:dyDescent="0.2">
      <c r="A47" s="20" t="s">
        <v>96</v>
      </c>
      <c r="B47" s="20"/>
      <c r="C47" s="20"/>
      <c r="D47" s="20"/>
      <c r="E47" s="21">
        <v>231493</v>
      </c>
      <c r="F47" s="22">
        <v>4</v>
      </c>
      <c r="G47" s="22">
        <v>1</v>
      </c>
      <c r="H47" s="23" t="s">
        <v>100</v>
      </c>
      <c r="I47" s="20" t="s">
        <v>65</v>
      </c>
      <c r="J47" s="20"/>
    </row>
    <row r="48" spans="1:10" ht="13.5" customHeight="1" x14ac:dyDescent="0.2">
      <c r="A48" s="20" t="s">
        <v>96</v>
      </c>
      <c r="B48" s="20"/>
      <c r="C48" s="20"/>
      <c r="D48" s="20"/>
      <c r="E48" s="21">
        <v>231493</v>
      </c>
      <c r="F48" s="22">
        <v>5</v>
      </c>
      <c r="G48" s="22">
        <v>1</v>
      </c>
      <c r="H48" s="23" t="s">
        <v>101</v>
      </c>
      <c r="I48" s="20" t="s">
        <v>65</v>
      </c>
      <c r="J48" s="20"/>
    </row>
    <row r="49" spans="1:10" ht="13.5" customHeight="1" x14ac:dyDescent="0.2">
      <c r="A49" s="20" t="s">
        <v>96</v>
      </c>
      <c r="B49" s="20"/>
      <c r="C49" s="20"/>
      <c r="D49" s="20"/>
      <c r="E49" s="21">
        <v>231493</v>
      </c>
      <c r="F49" s="22">
        <v>6</v>
      </c>
      <c r="G49" s="22">
        <v>1</v>
      </c>
      <c r="H49" s="23" t="s">
        <v>102</v>
      </c>
      <c r="I49" s="20" t="s">
        <v>65</v>
      </c>
      <c r="J49" s="20"/>
    </row>
    <row r="50" spans="1:10" ht="13.5" customHeight="1" x14ac:dyDescent="0.2">
      <c r="A50" s="20" t="s">
        <v>103</v>
      </c>
      <c r="B50" s="20"/>
      <c r="C50" s="20"/>
      <c r="D50" s="20"/>
      <c r="E50" s="21">
        <v>231494</v>
      </c>
      <c r="F50" s="22">
        <v>1</v>
      </c>
      <c r="G50" s="22">
        <v>1</v>
      </c>
      <c r="H50" s="23" t="s">
        <v>104</v>
      </c>
      <c r="I50" s="20" t="s">
        <v>65</v>
      </c>
      <c r="J50" s="20"/>
    </row>
    <row r="51" spans="1:10" ht="13.5" customHeight="1" x14ac:dyDescent="0.2">
      <c r="A51" s="20" t="s">
        <v>103</v>
      </c>
      <c r="B51" s="20"/>
      <c r="C51" s="20"/>
      <c r="D51" s="20"/>
      <c r="E51" s="21">
        <v>231494</v>
      </c>
      <c r="F51" s="22">
        <v>2</v>
      </c>
      <c r="G51" s="22">
        <v>1</v>
      </c>
      <c r="H51" s="23" t="s">
        <v>105</v>
      </c>
      <c r="I51" s="20" t="s">
        <v>65</v>
      </c>
      <c r="J51" s="20"/>
    </row>
    <row r="52" spans="1:10" ht="13.5" customHeight="1" x14ac:dyDescent="0.2">
      <c r="A52" s="20" t="s">
        <v>103</v>
      </c>
      <c r="B52" s="20"/>
      <c r="C52" s="20"/>
      <c r="D52" s="20"/>
      <c r="E52" s="21">
        <v>231494</v>
      </c>
      <c r="F52" s="22">
        <v>3</v>
      </c>
      <c r="G52" s="22">
        <v>1</v>
      </c>
      <c r="H52" s="23" t="s">
        <v>106</v>
      </c>
      <c r="I52" s="20" t="s">
        <v>65</v>
      </c>
      <c r="J52" s="20"/>
    </row>
    <row r="53" spans="1:10" ht="13.5" customHeight="1" x14ac:dyDescent="0.2">
      <c r="A53" s="20" t="s">
        <v>103</v>
      </c>
      <c r="B53" s="20"/>
      <c r="C53" s="20"/>
      <c r="D53" s="20"/>
      <c r="E53" s="21">
        <v>231494</v>
      </c>
      <c r="F53" s="22">
        <v>4</v>
      </c>
      <c r="G53" s="22">
        <v>1</v>
      </c>
      <c r="H53" s="23" t="s">
        <v>107</v>
      </c>
      <c r="I53" s="20" t="s">
        <v>65</v>
      </c>
      <c r="J53" s="20"/>
    </row>
    <row r="54" spans="1:10" ht="13.5" customHeight="1" x14ac:dyDescent="0.2">
      <c r="A54" s="20" t="s">
        <v>103</v>
      </c>
      <c r="B54" s="20"/>
      <c r="C54" s="20"/>
      <c r="D54" s="20"/>
      <c r="E54" s="21">
        <v>231494</v>
      </c>
      <c r="F54" s="22">
        <v>5</v>
      </c>
      <c r="G54" s="22">
        <v>1</v>
      </c>
      <c r="H54" s="23" t="s">
        <v>107</v>
      </c>
      <c r="I54" s="20" t="s">
        <v>65</v>
      </c>
      <c r="J54" s="20"/>
    </row>
    <row r="55" spans="1:10" ht="13.5" customHeight="1" x14ac:dyDescent="0.2">
      <c r="A55" s="20" t="s">
        <v>108</v>
      </c>
      <c r="B55" s="20"/>
      <c r="C55" s="20"/>
      <c r="D55" s="20"/>
      <c r="E55" s="21">
        <v>231495</v>
      </c>
      <c r="F55" s="22">
        <v>1</v>
      </c>
      <c r="G55" s="22">
        <v>1</v>
      </c>
      <c r="H55" s="23" t="s">
        <v>94</v>
      </c>
      <c r="I55" s="20" t="s">
        <v>65</v>
      </c>
      <c r="J55" s="20"/>
    </row>
    <row r="56" spans="1:10" ht="13.5" customHeight="1" x14ac:dyDescent="0.2">
      <c r="A56" s="20" t="s">
        <v>108</v>
      </c>
      <c r="B56" s="20"/>
      <c r="C56" s="20"/>
      <c r="D56" s="20"/>
      <c r="E56" s="21">
        <v>231495</v>
      </c>
      <c r="F56" s="22">
        <v>2</v>
      </c>
      <c r="G56" s="22">
        <v>1</v>
      </c>
      <c r="H56" s="23" t="s">
        <v>109</v>
      </c>
      <c r="I56" s="20" t="s">
        <v>65</v>
      </c>
      <c r="J56" s="20"/>
    </row>
    <row r="57" spans="1:10" ht="13.5" customHeight="1" x14ac:dyDescent="0.2">
      <c r="A57" s="20" t="s">
        <v>110</v>
      </c>
      <c r="B57" s="20"/>
      <c r="C57" s="20"/>
      <c r="D57" s="20"/>
      <c r="E57" s="21">
        <v>231496</v>
      </c>
      <c r="F57" s="22">
        <v>1</v>
      </c>
      <c r="G57" s="22">
        <v>1</v>
      </c>
      <c r="H57" s="23" t="s">
        <v>23</v>
      </c>
      <c r="I57" s="20" t="s">
        <v>24</v>
      </c>
      <c r="J57" s="20"/>
    </row>
    <row r="58" spans="1:10" ht="13.5" customHeight="1" x14ac:dyDescent="0.2">
      <c r="A58" s="20" t="s">
        <v>110</v>
      </c>
      <c r="B58" s="20"/>
      <c r="C58" s="20"/>
      <c r="D58" s="20"/>
      <c r="E58" s="21">
        <v>231496</v>
      </c>
      <c r="F58" s="22">
        <v>2</v>
      </c>
      <c r="G58" s="22">
        <v>2</v>
      </c>
      <c r="H58" s="23" t="s">
        <v>25</v>
      </c>
      <c r="I58" s="20" t="s">
        <v>24</v>
      </c>
      <c r="J58" s="20"/>
    </row>
    <row r="59" spans="1:10" ht="13.5" customHeight="1" x14ac:dyDescent="0.2">
      <c r="A59" s="20" t="s">
        <v>111</v>
      </c>
      <c r="B59" s="20"/>
      <c r="C59" s="20"/>
      <c r="D59" s="20"/>
      <c r="E59" s="21">
        <v>231497</v>
      </c>
      <c r="F59" s="22">
        <v>1</v>
      </c>
      <c r="G59" s="22">
        <v>5</v>
      </c>
      <c r="H59" s="23" t="s">
        <v>25</v>
      </c>
      <c r="I59" s="20" t="s">
        <v>24</v>
      </c>
      <c r="J59" s="20"/>
    </row>
    <row r="60" spans="1:10" ht="13.5" customHeight="1" x14ac:dyDescent="0.2">
      <c r="A60" s="20" t="s">
        <v>112</v>
      </c>
      <c r="B60" s="20"/>
      <c r="C60" s="20"/>
      <c r="D60" s="20"/>
      <c r="E60" s="21">
        <v>231498</v>
      </c>
      <c r="F60" s="22">
        <v>1</v>
      </c>
      <c r="G60" s="22">
        <v>1</v>
      </c>
      <c r="H60" s="23" t="s">
        <v>23</v>
      </c>
      <c r="I60" s="20" t="s">
        <v>24</v>
      </c>
      <c r="J60" s="20"/>
    </row>
    <row r="61" spans="1:10" ht="13.5" customHeight="1" x14ac:dyDescent="0.2">
      <c r="A61" s="20" t="s">
        <v>112</v>
      </c>
      <c r="B61" s="20"/>
      <c r="C61" s="20"/>
      <c r="D61" s="20"/>
      <c r="E61" s="21">
        <v>231498</v>
      </c>
      <c r="F61" s="22">
        <v>2</v>
      </c>
      <c r="G61" s="22">
        <v>2</v>
      </c>
      <c r="H61" s="23" t="s">
        <v>25</v>
      </c>
      <c r="I61" s="20" t="s">
        <v>24</v>
      </c>
      <c r="J61" s="20"/>
    </row>
    <row r="62" spans="1:10" ht="13.5" customHeight="1" x14ac:dyDescent="0.2">
      <c r="A62" s="20" t="s">
        <v>113</v>
      </c>
      <c r="B62" s="20"/>
      <c r="C62" s="20"/>
      <c r="D62" s="20"/>
      <c r="E62" s="21">
        <v>231499</v>
      </c>
      <c r="F62" s="22">
        <v>1</v>
      </c>
      <c r="G62" s="22">
        <v>2</v>
      </c>
      <c r="H62" s="23" t="s">
        <v>25</v>
      </c>
      <c r="I62" s="20" t="s">
        <v>24</v>
      </c>
      <c r="J62" s="20"/>
    </row>
    <row r="63" spans="1:10" ht="13.5" customHeight="1" x14ac:dyDescent="0.2">
      <c r="A63" s="20" t="s">
        <v>113</v>
      </c>
      <c r="B63" s="20"/>
      <c r="C63" s="20"/>
      <c r="D63" s="20"/>
      <c r="E63" s="21">
        <v>231499</v>
      </c>
      <c r="F63" s="22">
        <v>2</v>
      </c>
      <c r="G63" s="22">
        <v>1</v>
      </c>
      <c r="H63" s="23" t="s">
        <v>23</v>
      </c>
      <c r="I63" s="20" t="s">
        <v>24</v>
      </c>
      <c r="J63" s="20"/>
    </row>
    <row r="64" spans="1:10" ht="13.5" customHeight="1" x14ac:dyDescent="0.2">
      <c r="A64" s="20" t="s">
        <v>114</v>
      </c>
      <c r="B64" s="20"/>
      <c r="C64" s="20"/>
      <c r="D64" s="20"/>
      <c r="E64" s="21">
        <v>231500</v>
      </c>
      <c r="F64" s="22">
        <v>1</v>
      </c>
      <c r="G64" s="22">
        <v>4</v>
      </c>
      <c r="H64" s="23" t="s">
        <v>25</v>
      </c>
      <c r="I64" s="20" t="s">
        <v>24</v>
      </c>
      <c r="J64" s="20"/>
    </row>
    <row r="65" spans="1:10" ht="13.5" customHeight="1" x14ac:dyDescent="0.2">
      <c r="A65" s="20" t="s">
        <v>115</v>
      </c>
      <c r="B65" s="20"/>
      <c r="C65" s="20"/>
      <c r="D65" s="20"/>
      <c r="E65" s="21">
        <v>231501</v>
      </c>
      <c r="F65" s="22">
        <v>1</v>
      </c>
      <c r="G65" s="22">
        <v>4</v>
      </c>
      <c r="H65" s="23" t="s">
        <v>25</v>
      </c>
      <c r="I65" s="20" t="s">
        <v>24</v>
      </c>
      <c r="J65" s="20"/>
    </row>
    <row r="66" spans="1:10" ht="13.5" customHeight="1" x14ac:dyDescent="0.2">
      <c r="A66" s="20" t="s">
        <v>116</v>
      </c>
      <c r="B66" s="20"/>
      <c r="C66" s="20"/>
      <c r="D66" s="20"/>
      <c r="E66" s="21">
        <v>231502</v>
      </c>
      <c r="F66" s="22">
        <v>1</v>
      </c>
      <c r="G66" s="22">
        <v>4</v>
      </c>
      <c r="H66" s="23" t="s">
        <v>25</v>
      </c>
      <c r="I66" s="20" t="s">
        <v>24</v>
      </c>
      <c r="J66" s="20"/>
    </row>
    <row r="67" spans="1:10" ht="13.5" customHeight="1" x14ac:dyDescent="0.2">
      <c r="A67" s="20" t="s">
        <v>116</v>
      </c>
      <c r="B67" s="20"/>
      <c r="C67" s="20"/>
      <c r="D67" s="20"/>
      <c r="E67" s="21">
        <v>231502</v>
      </c>
      <c r="F67" s="22">
        <v>2</v>
      </c>
      <c r="G67" s="22">
        <v>1</v>
      </c>
      <c r="H67" s="23" t="s">
        <v>23</v>
      </c>
      <c r="I67" s="20" t="s">
        <v>24</v>
      </c>
      <c r="J67" s="20"/>
    </row>
    <row r="68" spans="1:10" ht="13.5" customHeight="1" x14ac:dyDescent="0.2">
      <c r="A68" s="20" t="s">
        <v>117</v>
      </c>
      <c r="B68" s="20"/>
      <c r="C68" s="20"/>
      <c r="D68" s="20"/>
      <c r="E68" s="21">
        <v>231504</v>
      </c>
      <c r="F68" s="22">
        <v>1</v>
      </c>
      <c r="G68" s="22">
        <v>1</v>
      </c>
      <c r="H68" s="23" t="s">
        <v>47</v>
      </c>
      <c r="I68" s="20" t="s">
        <v>39</v>
      </c>
      <c r="J68" s="20"/>
    </row>
    <row r="69" spans="1:10" ht="13.5" customHeight="1" x14ac:dyDescent="0.2">
      <c r="A69" s="20" t="s">
        <v>117</v>
      </c>
      <c r="B69" s="20"/>
      <c r="C69" s="20"/>
      <c r="D69" s="20"/>
      <c r="E69" s="21">
        <v>231504</v>
      </c>
      <c r="F69" s="22">
        <v>2</v>
      </c>
      <c r="G69" s="22">
        <v>1</v>
      </c>
      <c r="H69" s="23" t="s">
        <v>46</v>
      </c>
      <c r="I69" s="20" t="s">
        <v>39</v>
      </c>
      <c r="J69" s="20"/>
    </row>
    <row r="70" spans="1:10" ht="13.5" customHeight="1" x14ac:dyDescent="0.2">
      <c r="A70" s="20" t="s">
        <v>118</v>
      </c>
      <c r="B70" s="20"/>
      <c r="C70" s="20"/>
      <c r="D70" s="20"/>
      <c r="E70" s="21">
        <v>231505</v>
      </c>
      <c r="F70" s="22">
        <v>1</v>
      </c>
      <c r="G70" s="22">
        <v>1</v>
      </c>
      <c r="H70" s="23" t="s">
        <v>50</v>
      </c>
      <c r="I70" s="20" t="s">
        <v>26</v>
      </c>
      <c r="J70" s="20"/>
    </row>
    <row r="71" spans="1:10" ht="13.5" customHeight="1" x14ac:dyDescent="0.2">
      <c r="A71" s="20" t="s">
        <v>118</v>
      </c>
      <c r="B71" s="20"/>
      <c r="C71" s="20"/>
      <c r="D71" s="20"/>
      <c r="E71" s="21">
        <v>231505</v>
      </c>
      <c r="F71" s="22">
        <v>2</v>
      </c>
      <c r="G71" s="22">
        <v>1</v>
      </c>
      <c r="H71" s="23" t="s">
        <v>119</v>
      </c>
      <c r="I71" s="20" t="s">
        <v>26</v>
      </c>
      <c r="J71" s="20"/>
    </row>
    <row r="72" spans="1:10" ht="13.5" customHeight="1" x14ac:dyDescent="0.2">
      <c r="A72" s="20" t="s">
        <v>118</v>
      </c>
      <c r="B72" s="20"/>
      <c r="C72" s="20"/>
      <c r="D72" s="20"/>
      <c r="E72" s="21">
        <v>231505</v>
      </c>
      <c r="F72" s="22">
        <v>3</v>
      </c>
      <c r="G72" s="22">
        <v>1</v>
      </c>
      <c r="H72" s="23" t="s">
        <v>120</v>
      </c>
      <c r="I72" s="20" t="s">
        <v>26</v>
      </c>
      <c r="J72" s="20"/>
    </row>
    <row r="73" spans="1:10" ht="13.5" customHeight="1" x14ac:dyDescent="0.2">
      <c r="A73" s="20" t="s">
        <v>121</v>
      </c>
      <c r="B73" s="20"/>
      <c r="C73" s="20"/>
      <c r="D73" s="20"/>
      <c r="E73" s="21">
        <v>231507</v>
      </c>
      <c r="F73" s="22">
        <v>1</v>
      </c>
      <c r="G73" s="22">
        <v>2</v>
      </c>
      <c r="H73" s="23" t="s">
        <v>23</v>
      </c>
      <c r="I73" s="20" t="s">
        <v>24</v>
      </c>
      <c r="J73" s="20"/>
    </row>
    <row r="74" spans="1:10" ht="13.5" customHeight="1" x14ac:dyDescent="0.2">
      <c r="A74" s="20" t="s">
        <v>121</v>
      </c>
      <c r="B74" s="20"/>
      <c r="C74" s="20"/>
      <c r="D74" s="20"/>
      <c r="E74" s="21">
        <v>231507</v>
      </c>
      <c r="F74" s="22">
        <v>2</v>
      </c>
      <c r="G74" s="22">
        <v>2</v>
      </c>
      <c r="H74" s="23" t="s">
        <v>25</v>
      </c>
      <c r="I74" s="20" t="s">
        <v>24</v>
      </c>
      <c r="J74" s="20"/>
    </row>
    <row r="75" spans="1:10" ht="13.5" customHeight="1" x14ac:dyDescent="0.2">
      <c r="A75" s="20" t="s">
        <v>122</v>
      </c>
      <c r="B75" s="20"/>
      <c r="C75" s="20"/>
      <c r="D75" s="20"/>
      <c r="E75" s="21">
        <v>231508</v>
      </c>
      <c r="F75" s="22">
        <v>1</v>
      </c>
      <c r="G75" s="22">
        <v>2</v>
      </c>
      <c r="H75" s="23" t="s">
        <v>23</v>
      </c>
      <c r="I75" s="20" t="s">
        <v>24</v>
      </c>
      <c r="J75" s="20"/>
    </row>
    <row r="76" spans="1:10" ht="13.5" customHeight="1" x14ac:dyDescent="0.2">
      <c r="A76" s="20" t="s">
        <v>122</v>
      </c>
      <c r="B76" s="20"/>
      <c r="C76" s="20"/>
      <c r="D76" s="20"/>
      <c r="E76" s="21">
        <v>231508</v>
      </c>
      <c r="F76" s="22">
        <v>2</v>
      </c>
      <c r="G76" s="22">
        <v>2</v>
      </c>
      <c r="H76" s="23" t="s">
        <v>25</v>
      </c>
      <c r="I76" s="20" t="s">
        <v>24</v>
      </c>
      <c r="J76" s="20"/>
    </row>
    <row r="77" spans="1:10" ht="13.5" customHeight="1" x14ac:dyDescent="0.2">
      <c r="A77" s="20" t="s">
        <v>123</v>
      </c>
      <c r="B77" s="20"/>
      <c r="C77" s="20"/>
      <c r="D77" s="20"/>
      <c r="E77" s="21">
        <v>231509</v>
      </c>
      <c r="F77" s="22">
        <v>1</v>
      </c>
      <c r="G77" s="22">
        <v>2</v>
      </c>
      <c r="H77" s="23" t="s">
        <v>23</v>
      </c>
      <c r="I77" s="20" t="s">
        <v>24</v>
      </c>
      <c r="J77" s="20"/>
    </row>
    <row r="78" spans="1:10" ht="13.5" customHeight="1" x14ac:dyDescent="0.2">
      <c r="A78" s="20" t="s">
        <v>123</v>
      </c>
      <c r="B78" s="20"/>
      <c r="C78" s="20"/>
      <c r="D78" s="20"/>
      <c r="E78" s="21">
        <v>231509</v>
      </c>
      <c r="F78" s="22">
        <v>2</v>
      </c>
      <c r="G78" s="22">
        <v>2</v>
      </c>
      <c r="H78" s="23" t="s">
        <v>25</v>
      </c>
      <c r="I78" s="20" t="s">
        <v>24</v>
      </c>
      <c r="J78" s="20"/>
    </row>
    <row r="79" spans="1:10" ht="13.5" customHeight="1" x14ac:dyDescent="0.2">
      <c r="A79" s="20" t="s">
        <v>124</v>
      </c>
      <c r="B79" s="20"/>
      <c r="C79" s="20"/>
      <c r="D79" s="20"/>
      <c r="E79" s="21">
        <v>231510</v>
      </c>
      <c r="F79" s="22">
        <v>1</v>
      </c>
      <c r="G79" s="22">
        <v>1</v>
      </c>
      <c r="H79" s="23" t="s">
        <v>125</v>
      </c>
      <c r="I79" s="20" t="s">
        <v>39</v>
      </c>
      <c r="J79" s="20"/>
    </row>
    <row r="80" spans="1:10" ht="13.5" customHeight="1" x14ac:dyDescent="0.2">
      <c r="A80" s="20" t="s">
        <v>124</v>
      </c>
      <c r="B80" s="20"/>
      <c r="C80" s="20"/>
      <c r="D80" s="20"/>
      <c r="E80" s="21">
        <v>231510</v>
      </c>
      <c r="F80" s="22">
        <v>2</v>
      </c>
      <c r="G80" s="22">
        <v>1</v>
      </c>
      <c r="H80" s="23" t="s">
        <v>53</v>
      </c>
      <c r="I80" s="20" t="s">
        <v>39</v>
      </c>
      <c r="J80" s="20"/>
    </row>
    <row r="81" spans="1:10" ht="13.5" customHeight="1" x14ac:dyDescent="0.2">
      <c r="A81" s="20" t="s">
        <v>126</v>
      </c>
      <c r="B81" s="20"/>
      <c r="C81" s="20"/>
      <c r="D81" s="20"/>
      <c r="E81" s="21">
        <v>231511</v>
      </c>
      <c r="F81" s="22">
        <v>1</v>
      </c>
      <c r="G81" s="22">
        <v>1</v>
      </c>
      <c r="H81" s="23" t="s">
        <v>127</v>
      </c>
      <c r="I81" s="20" t="s">
        <v>39</v>
      </c>
      <c r="J81" s="20"/>
    </row>
    <row r="82" spans="1:10" ht="13.5" customHeight="1" x14ac:dyDescent="0.2">
      <c r="A82" s="20" t="s">
        <v>126</v>
      </c>
      <c r="B82" s="20"/>
      <c r="C82" s="20"/>
      <c r="D82" s="20"/>
      <c r="E82" s="21">
        <v>231511</v>
      </c>
      <c r="F82" s="22">
        <v>2</v>
      </c>
      <c r="G82" s="22">
        <v>1</v>
      </c>
      <c r="H82" s="23" t="s">
        <v>53</v>
      </c>
      <c r="I82" s="20" t="s">
        <v>39</v>
      </c>
      <c r="J82" s="20"/>
    </row>
    <row r="83" spans="1:10" ht="13.5" customHeight="1" x14ac:dyDescent="0.2">
      <c r="A83" s="20" t="s">
        <v>128</v>
      </c>
      <c r="B83" s="20"/>
      <c r="C83" s="20"/>
      <c r="D83" s="20"/>
      <c r="E83" s="21">
        <v>231512</v>
      </c>
      <c r="F83" s="22">
        <v>1</v>
      </c>
      <c r="G83" s="22">
        <v>1</v>
      </c>
      <c r="H83" s="23" t="s">
        <v>129</v>
      </c>
      <c r="I83" s="20" t="s">
        <v>39</v>
      </c>
      <c r="J83" s="20"/>
    </row>
    <row r="84" spans="1:10" ht="13.5" customHeight="1" x14ac:dyDescent="0.2">
      <c r="A84" s="20" t="s">
        <v>128</v>
      </c>
      <c r="B84" s="20"/>
      <c r="C84" s="20"/>
      <c r="D84" s="20"/>
      <c r="E84" s="21">
        <v>231512</v>
      </c>
      <c r="F84" s="22">
        <v>2</v>
      </c>
      <c r="G84" s="22">
        <v>1</v>
      </c>
      <c r="H84" s="23" t="s">
        <v>53</v>
      </c>
      <c r="I84" s="20" t="s">
        <v>39</v>
      </c>
      <c r="J84" s="20"/>
    </row>
    <row r="85" spans="1:10" ht="13.5" customHeight="1" x14ac:dyDescent="0.2">
      <c r="A85" s="20" t="s">
        <v>130</v>
      </c>
      <c r="B85" s="20"/>
      <c r="C85" s="20"/>
      <c r="D85" s="20"/>
      <c r="E85" s="21">
        <v>231513</v>
      </c>
      <c r="F85" s="22">
        <v>1</v>
      </c>
      <c r="G85" s="22">
        <v>1</v>
      </c>
      <c r="H85" s="23" t="s">
        <v>131</v>
      </c>
      <c r="I85" s="20" t="s">
        <v>39</v>
      </c>
      <c r="J85" s="20"/>
    </row>
    <row r="86" spans="1:10" ht="13.5" customHeight="1" x14ac:dyDescent="0.2">
      <c r="A86" s="20" t="s">
        <v>130</v>
      </c>
      <c r="B86" s="20"/>
      <c r="C86" s="20"/>
      <c r="D86" s="20"/>
      <c r="E86" s="21">
        <v>231513</v>
      </c>
      <c r="F86" s="22">
        <v>2</v>
      </c>
      <c r="G86" s="22">
        <v>1</v>
      </c>
      <c r="H86" s="23" t="s">
        <v>53</v>
      </c>
      <c r="I86" s="20" t="s">
        <v>39</v>
      </c>
      <c r="J86" s="20"/>
    </row>
    <row r="87" spans="1:10" ht="13.5" customHeight="1" x14ac:dyDescent="0.2">
      <c r="A87" s="20" t="s">
        <v>132</v>
      </c>
      <c r="B87" s="20"/>
      <c r="C87" s="20"/>
      <c r="D87" s="20"/>
      <c r="E87" s="21">
        <v>231514</v>
      </c>
      <c r="F87" s="22">
        <v>1</v>
      </c>
      <c r="G87" s="22">
        <v>1</v>
      </c>
      <c r="H87" s="23" t="s">
        <v>47</v>
      </c>
      <c r="I87" s="20" t="s">
        <v>39</v>
      </c>
      <c r="J87" s="20"/>
    </row>
    <row r="88" spans="1:10" ht="13.5" customHeight="1" x14ac:dyDescent="0.2">
      <c r="A88" s="20" t="s">
        <v>132</v>
      </c>
      <c r="B88" s="20"/>
      <c r="C88" s="20"/>
      <c r="D88" s="20"/>
      <c r="E88" s="21">
        <v>231514</v>
      </c>
      <c r="F88" s="22">
        <v>2</v>
      </c>
      <c r="G88" s="22">
        <v>1</v>
      </c>
      <c r="H88" s="23" t="s">
        <v>55</v>
      </c>
      <c r="I88" s="20" t="s">
        <v>39</v>
      </c>
      <c r="J88" s="20"/>
    </row>
    <row r="89" spans="1:10" ht="13.5" customHeight="1" x14ac:dyDescent="0.2">
      <c r="A89" s="20" t="s">
        <v>133</v>
      </c>
      <c r="B89" s="20"/>
      <c r="C89" s="20"/>
      <c r="D89" s="20"/>
      <c r="E89" s="21">
        <v>231515</v>
      </c>
      <c r="F89" s="22">
        <v>1</v>
      </c>
      <c r="G89" s="22">
        <v>1</v>
      </c>
      <c r="H89" s="23" t="s">
        <v>47</v>
      </c>
      <c r="I89" s="20" t="s">
        <v>39</v>
      </c>
      <c r="J89" s="20"/>
    </row>
    <row r="90" spans="1:10" ht="13.5" customHeight="1" x14ac:dyDescent="0.2">
      <c r="A90" s="20" t="s">
        <v>133</v>
      </c>
      <c r="B90" s="20"/>
      <c r="C90" s="20"/>
      <c r="D90" s="20"/>
      <c r="E90" s="21">
        <v>231515</v>
      </c>
      <c r="F90" s="22">
        <v>2</v>
      </c>
      <c r="G90" s="22">
        <v>1</v>
      </c>
      <c r="H90" s="23" t="s">
        <v>46</v>
      </c>
      <c r="I90" s="20" t="s">
        <v>39</v>
      </c>
      <c r="J90" s="20"/>
    </row>
    <row r="91" spans="1:10" ht="13.5" customHeight="1" x14ac:dyDescent="0.2">
      <c r="A91" s="20" t="s">
        <v>134</v>
      </c>
      <c r="B91" s="20"/>
      <c r="C91" s="20"/>
      <c r="D91" s="20"/>
      <c r="E91" s="21">
        <v>231516</v>
      </c>
      <c r="F91" s="22">
        <v>1</v>
      </c>
      <c r="G91" s="22">
        <v>1</v>
      </c>
      <c r="H91" s="23" t="s">
        <v>47</v>
      </c>
      <c r="I91" s="20" t="s">
        <v>39</v>
      </c>
      <c r="J91" s="20"/>
    </row>
    <row r="92" spans="1:10" ht="13.5" customHeight="1" x14ac:dyDescent="0.2">
      <c r="A92" s="20" t="s">
        <v>134</v>
      </c>
      <c r="B92" s="20"/>
      <c r="C92" s="20"/>
      <c r="D92" s="20"/>
      <c r="E92" s="21">
        <v>231516</v>
      </c>
      <c r="F92" s="22">
        <v>2</v>
      </c>
      <c r="G92" s="22">
        <v>1</v>
      </c>
      <c r="H92" s="23" t="s">
        <v>49</v>
      </c>
      <c r="I92" s="20" t="s">
        <v>39</v>
      </c>
      <c r="J92" s="20"/>
    </row>
    <row r="93" spans="1:10" ht="13.5" customHeight="1" x14ac:dyDescent="0.2">
      <c r="A93" s="20" t="s">
        <v>135</v>
      </c>
      <c r="B93" s="20"/>
      <c r="C93" s="20"/>
      <c r="D93" s="20"/>
      <c r="E93" s="21">
        <v>231517</v>
      </c>
      <c r="F93" s="22">
        <v>1</v>
      </c>
      <c r="G93" s="22">
        <v>1</v>
      </c>
      <c r="H93" s="23" t="s">
        <v>47</v>
      </c>
      <c r="I93" s="20" t="s">
        <v>39</v>
      </c>
      <c r="J93" s="20"/>
    </row>
    <row r="94" spans="1:10" ht="13.5" customHeight="1" x14ac:dyDescent="0.2">
      <c r="A94" s="20" t="s">
        <v>135</v>
      </c>
      <c r="B94" s="20"/>
      <c r="C94" s="20"/>
      <c r="D94" s="20"/>
      <c r="E94" s="21">
        <v>231517</v>
      </c>
      <c r="F94" s="22">
        <v>2</v>
      </c>
      <c r="G94" s="22">
        <v>1</v>
      </c>
      <c r="H94" s="23" t="s">
        <v>49</v>
      </c>
      <c r="I94" s="20" t="s">
        <v>39</v>
      </c>
      <c r="J94" s="20"/>
    </row>
    <row r="95" spans="1:10" ht="13.5" customHeight="1" x14ac:dyDescent="0.2">
      <c r="A95" s="20" t="s">
        <v>136</v>
      </c>
      <c r="B95" s="20"/>
      <c r="C95" s="20"/>
      <c r="D95" s="20"/>
      <c r="E95" s="21">
        <v>231518</v>
      </c>
      <c r="F95" s="22">
        <v>1</v>
      </c>
      <c r="G95" s="22">
        <v>1</v>
      </c>
      <c r="H95" s="23" t="s">
        <v>137</v>
      </c>
      <c r="I95" s="20" t="s">
        <v>138</v>
      </c>
      <c r="J95" s="20"/>
    </row>
    <row r="96" spans="1:10" ht="13.5" customHeight="1" x14ac:dyDescent="0.2">
      <c r="A96" s="20" t="s">
        <v>139</v>
      </c>
      <c r="B96" s="20"/>
      <c r="C96" s="20"/>
      <c r="D96" s="20"/>
      <c r="E96" s="21">
        <v>231519</v>
      </c>
      <c r="F96" s="22">
        <v>1</v>
      </c>
      <c r="G96" s="22">
        <v>1</v>
      </c>
      <c r="H96" s="23" t="s">
        <v>56</v>
      </c>
      <c r="I96" s="20" t="s">
        <v>140</v>
      </c>
      <c r="J96" s="20"/>
    </row>
    <row r="97" spans="1:47" ht="13.5" customHeight="1" x14ac:dyDescent="0.2">
      <c r="A97" s="20" t="s">
        <v>141</v>
      </c>
      <c r="B97" s="20"/>
      <c r="C97" s="20"/>
      <c r="D97" s="20"/>
      <c r="E97" s="21">
        <v>231520</v>
      </c>
      <c r="F97" s="22">
        <v>1</v>
      </c>
      <c r="G97" s="22">
        <v>1</v>
      </c>
      <c r="H97" s="23" t="s">
        <v>131</v>
      </c>
      <c r="I97" s="20" t="s">
        <v>39</v>
      </c>
      <c r="J97" s="20"/>
    </row>
    <row r="98" spans="1:47" ht="13.5" customHeight="1" x14ac:dyDescent="0.2">
      <c r="A98" s="20" t="s">
        <v>141</v>
      </c>
      <c r="B98" s="20"/>
      <c r="C98" s="20"/>
      <c r="D98" s="20"/>
      <c r="E98" s="21">
        <v>231520</v>
      </c>
      <c r="F98" s="22">
        <v>2</v>
      </c>
      <c r="G98" s="22">
        <v>1</v>
      </c>
      <c r="H98" s="23" t="s">
        <v>53</v>
      </c>
      <c r="I98" s="20" t="s">
        <v>39</v>
      </c>
      <c r="J98" s="20"/>
    </row>
    <row r="99" spans="1:47" ht="13.5" customHeight="1" x14ac:dyDescent="0.2">
      <c r="A99" s="57" t="s">
        <v>177</v>
      </c>
      <c r="B99" s="57"/>
      <c r="C99" s="57"/>
      <c r="D99" s="57"/>
      <c r="E99" s="58">
        <v>231528</v>
      </c>
      <c r="F99" s="59">
        <v>1</v>
      </c>
      <c r="G99" s="59">
        <v>1</v>
      </c>
      <c r="H99" s="60" t="s">
        <v>51</v>
      </c>
      <c r="I99" s="57" t="s">
        <v>73</v>
      </c>
      <c r="J99" s="57"/>
      <c r="K99" s="61"/>
      <c r="L99" s="61"/>
      <c r="M99" s="61"/>
      <c r="N99" s="34"/>
    </row>
    <row r="100" spans="1:47" ht="13.5" customHeight="1" x14ac:dyDescent="0.2">
      <c r="A100" s="57" t="s">
        <v>178</v>
      </c>
      <c r="B100" s="57"/>
      <c r="C100" s="57"/>
      <c r="D100" s="57"/>
      <c r="E100" s="58">
        <v>231530</v>
      </c>
      <c r="F100" s="59">
        <v>1</v>
      </c>
      <c r="G100" s="59">
        <v>1</v>
      </c>
      <c r="H100" s="60" t="s">
        <v>179</v>
      </c>
      <c r="I100" s="57" t="s">
        <v>68</v>
      </c>
      <c r="J100" s="57"/>
      <c r="K100" s="61"/>
      <c r="L100" s="61"/>
      <c r="M100" s="61"/>
      <c r="N100" s="34"/>
    </row>
    <row r="101" spans="1:47" ht="13.5" customHeight="1" x14ac:dyDescent="0.2">
      <c r="A101" s="62" t="s">
        <v>183</v>
      </c>
      <c r="B101" s="62"/>
      <c r="C101" s="62"/>
      <c r="D101" s="62"/>
      <c r="E101" s="63">
        <v>231531</v>
      </c>
      <c r="F101" s="64">
        <v>1</v>
      </c>
      <c r="G101" s="64">
        <v>1</v>
      </c>
      <c r="H101" s="65" t="s">
        <v>129</v>
      </c>
      <c r="I101" s="62" t="s">
        <v>39</v>
      </c>
      <c r="J101" s="62"/>
      <c r="K101" s="66"/>
      <c r="L101" s="66"/>
      <c r="M101" s="66"/>
      <c r="N101" s="34"/>
    </row>
    <row r="102" spans="1:47" ht="13.5" customHeight="1" x14ac:dyDescent="0.2">
      <c r="A102" s="62" t="s">
        <v>184</v>
      </c>
      <c r="B102" s="62"/>
      <c r="C102" s="62"/>
      <c r="D102" s="62"/>
      <c r="E102" s="63">
        <v>231532</v>
      </c>
      <c r="F102" s="64">
        <v>1</v>
      </c>
      <c r="G102" s="64">
        <v>1</v>
      </c>
      <c r="H102" s="65" t="s">
        <v>53</v>
      </c>
      <c r="I102" s="62" t="s">
        <v>39</v>
      </c>
      <c r="J102" s="62"/>
      <c r="K102" s="66"/>
      <c r="L102" s="66"/>
      <c r="M102" s="66"/>
      <c r="N102" s="34"/>
    </row>
    <row r="103" spans="1:47" ht="13.5" customHeight="1" x14ac:dyDescent="0.2">
      <c r="A103" s="62" t="s">
        <v>185</v>
      </c>
      <c r="B103" s="62"/>
      <c r="C103" s="62"/>
      <c r="D103" s="62"/>
      <c r="E103" s="63">
        <v>231529</v>
      </c>
      <c r="F103" s="64">
        <v>1</v>
      </c>
      <c r="G103" s="64">
        <v>1</v>
      </c>
      <c r="H103" s="65" t="s">
        <v>53</v>
      </c>
      <c r="I103" s="62" t="s">
        <v>39</v>
      </c>
      <c r="J103" s="62"/>
      <c r="K103" s="66"/>
      <c r="L103" s="66"/>
      <c r="M103" s="66"/>
      <c r="N103" s="34"/>
    </row>
    <row r="104" spans="1:47" ht="13.5" customHeight="1" x14ac:dyDescent="0.2">
      <c r="A104" s="57" t="s">
        <v>180</v>
      </c>
      <c r="B104" s="57"/>
      <c r="C104" s="57"/>
      <c r="D104" s="57"/>
      <c r="E104" s="58">
        <v>231533</v>
      </c>
      <c r="F104" s="59">
        <v>1</v>
      </c>
      <c r="G104" s="59">
        <v>1</v>
      </c>
      <c r="H104" s="60" t="s">
        <v>67</v>
      </c>
      <c r="I104" s="57" t="s">
        <v>52</v>
      </c>
      <c r="J104" s="57"/>
      <c r="K104" s="61"/>
      <c r="L104" s="61"/>
      <c r="M104" s="61"/>
      <c r="N104" s="34"/>
    </row>
    <row r="105" spans="1:47" ht="13.5" customHeight="1" x14ac:dyDescent="0.2">
      <c r="A105" s="19" t="s">
        <v>8</v>
      </c>
    </row>
    <row r="106" spans="1:47" ht="13.5" customHeight="1" x14ac:dyDescent="0.2">
      <c r="A106" s="20" t="s">
        <v>142</v>
      </c>
      <c r="B106" s="20"/>
      <c r="C106" s="20"/>
      <c r="D106" s="20"/>
      <c r="E106" s="21">
        <v>231404</v>
      </c>
      <c r="F106" s="22">
        <v>1</v>
      </c>
      <c r="G106" s="22">
        <v>1</v>
      </c>
      <c r="H106" s="23" t="s">
        <v>143</v>
      </c>
      <c r="I106" s="20" t="s">
        <v>69</v>
      </c>
      <c r="J106" s="20"/>
      <c r="AP106" s="44" t="s">
        <v>188</v>
      </c>
      <c r="AQ106" s="44">
        <v>231404</v>
      </c>
      <c r="AR106" s="44">
        <v>1</v>
      </c>
      <c r="AS106" s="44">
        <v>1</v>
      </c>
      <c r="AT106" s="46">
        <v>46101.447916666664</v>
      </c>
      <c r="AU106" s="47" t="s">
        <v>66</v>
      </c>
    </row>
    <row r="107" spans="1:47" ht="13.5" customHeight="1" x14ac:dyDescent="0.2">
      <c r="A107" s="20" t="s">
        <v>142</v>
      </c>
      <c r="B107" s="20"/>
      <c r="C107" s="20"/>
      <c r="D107" s="20"/>
      <c r="E107" s="21">
        <v>231404</v>
      </c>
      <c r="F107" s="22">
        <v>2</v>
      </c>
      <c r="G107" s="22">
        <v>1</v>
      </c>
      <c r="H107" s="23" t="s">
        <v>144</v>
      </c>
      <c r="I107" s="20" t="s">
        <v>69</v>
      </c>
      <c r="J107" s="20"/>
      <c r="AP107" s="44" t="s">
        <v>189</v>
      </c>
      <c r="AQ107" s="44">
        <v>231404</v>
      </c>
      <c r="AR107" s="44">
        <v>2</v>
      </c>
      <c r="AS107" s="44">
        <v>1</v>
      </c>
      <c r="AT107" s="46">
        <v>46101.443749999999</v>
      </c>
      <c r="AU107" s="47" t="s">
        <v>66</v>
      </c>
    </row>
    <row r="108" spans="1:47" ht="13.5" customHeight="1" x14ac:dyDescent="0.2">
      <c r="A108" s="20" t="s">
        <v>142</v>
      </c>
      <c r="B108" s="20"/>
      <c r="C108" s="20"/>
      <c r="D108" s="20"/>
      <c r="E108" s="21">
        <v>231404</v>
      </c>
      <c r="F108" s="22">
        <v>3</v>
      </c>
      <c r="G108" s="22">
        <v>1</v>
      </c>
      <c r="H108" s="23" t="s">
        <v>145</v>
      </c>
      <c r="I108" s="20" t="s">
        <v>69</v>
      </c>
      <c r="J108" s="20"/>
      <c r="AP108" s="44" t="s">
        <v>190</v>
      </c>
      <c r="AQ108" s="44">
        <v>231404</v>
      </c>
      <c r="AR108" s="44">
        <v>3</v>
      </c>
      <c r="AS108" s="44">
        <v>1</v>
      </c>
      <c r="AT108" s="46">
        <v>46101.488194444442</v>
      </c>
      <c r="AU108" s="47" t="s">
        <v>66</v>
      </c>
    </row>
    <row r="109" spans="1:47" ht="13.5" customHeight="1" x14ac:dyDescent="0.2">
      <c r="A109" s="20" t="s">
        <v>146</v>
      </c>
      <c r="B109" s="20"/>
      <c r="C109" s="20"/>
      <c r="D109" s="20"/>
      <c r="E109" s="21">
        <v>231405</v>
      </c>
      <c r="F109" s="22">
        <v>1</v>
      </c>
      <c r="G109" s="22">
        <v>1</v>
      </c>
      <c r="H109" s="23" t="s">
        <v>147</v>
      </c>
      <c r="I109" s="20" t="s">
        <v>69</v>
      </c>
      <c r="J109" s="20"/>
      <c r="AP109" s="44" t="s">
        <v>191</v>
      </c>
      <c r="AQ109" s="44">
        <v>231405</v>
      </c>
      <c r="AR109" s="44">
        <v>1</v>
      </c>
      <c r="AS109" s="44">
        <v>1</v>
      </c>
      <c r="AT109" s="46">
        <v>46101.458333333336</v>
      </c>
      <c r="AU109" s="47" t="s">
        <v>66</v>
      </c>
    </row>
    <row r="110" spans="1:47" ht="13.5" customHeight="1" x14ac:dyDescent="0.2">
      <c r="A110" s="20" t="s">
        <v>146</v>
      </c>
      <c r="B110" s="20"/>
      <c r="C110" s="20"/>
      <c r="D110" s="20"/>
      <c r="E110" s="21">
        <v>231405</v>
      </c>
      <c r="F110" s="22">
        <v>2</v>
      </c>
      <c r="G110" s="22">
        <v>1</v>
      </c>
      <c r="H110" s="23" t="s">
        <v>58</v>
      </c>
      <c r="I110" s="20" t="s">
        <v>69</v>
      </c>
      <c r="J110" s="20"/>
      <c r="AP110" s="44" t="s">
        <v>192</v>
      </c>
      <c r="AQ110" s="44">
        <v>231405</v>
      </c>
      <c r="AR110" s="44">
        <v>2</v>
      </c>
      <c r="AS110" s="44">
        <v>1</v>
      </c>
      <c r="AT110" s="46">
        <v>46101.443749999999</v>
      </c>
      <c r="AU110" s="47" t="s">
        <v>66</v>
      </c>
    </row>
    <row r="111" spans="1:47" ht="13.5" customHeight="1" x14ac:dyDescent="0.2">
      <c r="A111" s="20" t="s">
        <v>148</v>
      </c>
      <c r="B111" s="20"/>
      <c r="C111" s="20"/>
      <c r="D111" s="20"/>
      <c r="E111" s="21">
        <v>231406</v>
      </c>
      <c r="F111" s="22">
        <v>1</v>
      </c>
      <c r="G111" s="22">
        <v>1</v>
      </c>
      <c r="H111" s="23" t="s">
        <v>149</v>
      </c>
      <c r="I111" s="20" t="s">
        <v>69</v>
      </c>
      <c r="J111" s="20"/>
      <c r="P111" s="44" t="s">
        <v>193</v>
      </c>
      <c r="Q111" s="44">
        <v>231406</v>
      </c>
      <c r="R111" s="44">
        <v>1</v>
      </c>
      <c r="S111" s="45">
        <v>1</v>
      </c>
      <c r="T111" s="53">
        <v>46104.467361111114</v>
      </c>
      <c r="U111" s="47" t="s">
        <v>66</v>
      </c>
      <c r="V111" s="67" t="s">
        <v>212</v>
      </c>
      <c r="AP111" s="44" t="s">
        <v>193</v>
      </c>
      <c r="AQ111" s="44">
        <v>231406</v>
      </c>
      <c r="AR111" s="44">
        <v>1</v>
      </c>
      <c r="AS111" s="44">
        <v>1</v>
      </c>
      <c r="AT111" s="46">
        <v>46104.466666666667</v>
      </c>
      <c r="AU111" s="47" t="s">
        <v>66</v>
      </c>
    </row>
    <row r="112" spans="1:47" ht="13.5" customHeight="1" x14ac:dyDescent="0.2">
      <c r="A112" s="20" t="s">
        <v>148</v>
      </c>
      <c r="B112" s="20"/>
      <c r="C112" s="20"/>
      <c r="D112" s="20"/>
      <c r="E112" s="21">
        <v>231406</v>
      </c>
      <c r="F112" s="22">
        <v>2</v>
      </c>
      <c r="G112" s="22">
        <v>1</v>
      </c>
      <c r="H112" s="23" t="s">
        <v>60</v>
      </c>
      <c r="I112" s="20" t="s">
        <v>69</v>
      </c>
      <c r="J112" s="20"/>
      <c r="AP112" s="44" t="s">
        <v>194</v>
      </c>
      <c r="AQ112" s="44">
        <v>231406</v>
      </c>
      <c r="AR112" s="44">
        <v>2</v>
      </c>
      <c r="AS112" s="44">
        <v>1</v>
      </c>
      <c r="AT112" s="46">
        <v>46101.444444444445</v>
      </c>
      <c r="AU112" s="47" t="s">
        <v>66</v>
      </c>
    </row>
    <row r="113" spans="1:47" ht="13.5" customHeight="1" x14ac:dyDescent="0.2">
      <c r="A113" s="20" t="s">
        <v>150</v>
      </c>
      <c r="B113" s="20"/>
      <c r="C113" s="20"/>
      <c r="D113" s="20"/>
      <c r="E113" s="21">
        <v>231407</v>
      </c>
      <c r="F113" s="22">
        <v>1</v>
      </c>
      <c r="G113" s="22">
        <v>1</v>
      </c>
      <c r="H113" s="23" t="s">
        <v>151</v>
      </c>
      <c r="I113" s="20" t="s">
        <v>73</v>
      </c>
      <c r="J113" s="20"/>
      <c r="AP113" s="44"/>
      <c r="AQ113" s="44"/>
      <c r="AR113" s="44"/>
      <c r="AS113" s="44"/>
      <c r="AT113" s="44"/>
      <c r="AU113" s="44"/>
    </row>
    <row r="114" spans="1:47" ht="13.5" customHeight="1" x14ac:dyDescent="0.2">
      <c r="A114" s="20" t="s">
        <v>152</v>
      </c>
      <c r="B114" s="20"/>
      <c r="C114" s="20"/>
      <c r="D114" s="20"/>
      <c r="E114" s="21">
        <v>231408</v>
      </c>
      <c r="F114" s="22">
        <v>1</v>
      </c>
      <c r="G114" s="22">
        <v>1</v>
      </c>
      <c r="H114" s="23" t="s">
        <v>153</v>
      </c>
      <c r="I114" s="20" t="s">
        <v>73</v>
      </c>
      <c r="J114" s="20"/>
      <c r="AP114" s="44" t="s">
        <v>195</v>
      </c>
      <c r="AQ114" s="44">
        <v>231408</v>
      </c>
      <c r="AR114" s="44">
        <v>1</v>
      </c>
      <c r="AS114" s="44">
        <v>1</v>
      </c>
      <c r="AT114" s="46">
        <v>46101.453472222223</v>
      </c>
      <c r="AU114" s="47" t="s">
        <v>66</v>
      </c>
    </row>
    <row r="115" spans="1:47" ht="13.5" customHeight="1" x14ac:dyDescent="0.2">
      <c r="A115" s="20" t="s">
        <v>154</v>
      </c>
      <c r="B115" s="20"/>
      <c r="C115" s="20"/>
      <c r="D115" s="20"/>
      <c r="E115" s="21">
        <v>231409</v>
      </c>
      <c r="F115" s="22">
        <v>1</v>
      </c>
      <c r="G115" s="22">
        <v>1</v>
      </c>
      <c r="H115" s="23" t="s">
        <v>155</v>
      </c>
      <c r="I115" s="20" t="s">
        <v>54</v>
      </c>
      <c r="J115" s="20"/>
      <c r="AP115" s="44" t="s">
        <v>196</v>
      </c>
      <c r="AQ115" s="44">
        <v>231409</v>
      </c>
      <c r="AR115" s="44">
        <v>1</v>
      </c>
      <c r="AS115" s="44">
        <v>1</v>
      </c>
      <c r="AT115" s="46">
        <v>46101.477777777778</v>
      </c>
      <c r="AU115" s="47" t="s">
        <v>66</v>
      </c>
    </row>
    <row r="116" spans="1:47" ht="13.5" customHeight="1" x14ac:dyDescent="0.2">
      <c r="A116" s="20" t="s">
        <v>154</v>
      </c>
      <c r="B116" s="20"/>
      <c r="C116" s="20"/>
      <c r="D116" s="20"/>
      <c r="E116" s="21">
        <v>231409</v>
      </c>
      <c r="F116" s="22">
        <v>2</v>
      </c>
      <c r="G116" s="22">
        <v>1</v>
      </c>
      <c r="H116" s="23" t="s">
        <v>156</v>
      </c>
      <c r="I116" s="20" t="s">
        <v>54</v>
      </c>
      <c r="J116" s="20"/>
      <c r="AP116" s="44" t="s">
        <v>197</v>
      </c>
      <c r="AQ116" s="44">
        <v>231409</v>
      </c>
      <c r="AR116" s="44">
        <v>2</v>
      </c>
      <c r="AS116" s="44">
        <v>1</v>
      </c>
      <c r="AT116" s="46">
        <v>46101.455555555556</v>
      </c>
      <c r="AU116" s="47" t="s">
        <v>66</v>
      </c>
    </row>
    <row r="117" spans="1:47" ht="13.5" customHeight="1" x14ac:dyDescent="0.2">
      <c r="A117" s="20" t="s">
        <v>157</v>
      </c>
      <c r="B117" s="20"/>
      <c r="C117" s="20"/>
      <c r="D117" s="20"/>
      <c r="E117" s="21">
        <v>231410</v>
      </c>
      <c r="F117" s="22">
        <v>1</v>
      </c>
      <c r="G117" s="22">
        <v>1</v>
      </c>
      <c r="H117" s="23" t="s">
        <v>158</v>
      </c>
      <c r="I117" s="20" t="s">
        <v>52</v>
      </c>
      <c r="J117" s="20"/>
      <c r="AP117" s="44" t="s">
        <v>198</v>
      </c>
      <c r="AQ117" s="44">
        <v>231410</v>
      </c>
      <c r="AR117" s="44">
        <v>1</v>
      </c>
      <c r="AS117" s="44">
        <v>1</v>
      </c>
      <c r="AT117" s="46">
        <v>46101.444444444445</v>
      </c>
      <c r="AU117" s="47" t="s">
        <v>66</v>
      </c>
    </row>
    <row r="118" spans="1:47" ht="13.5" customHeight="1" x14ac:dyDescent="0.2">
      <c r="A118" s="20" t="s">
        <v>157</v>
      </c>
      <c r="B118" s="20"/>
      <c r="C118" s="20"/>
      <c r="D118" s="20"/>
      <c r="E118" s="21">
        <v>231410</v>
      </c>
      <c r="F118" s="22">
        <v>2</v>
      </c>
      <c r="G118" s="22">
        <v>1</v>
      </c>
      <c r="H118" s="23" t="s">
        <v>159</v>
      </c>
      <c r="I118" s="20" t="s">
        <v>52</v>
      </c>
      <c r="J118" s="20"/>
      <c r="AP118" s="44" t="s">
        <v>199</v>
      </c>
      <c r="AQ118" s="44">
        <v>231410</v>
      </c>
      <c r="AR118" s="44">
        <v>2</v>
      </c>
      <c r="AS118" s="44">
        <v>1</v>
      </c>
      <c r="AT118" s="46">
        <v>46101.458333333336</v>
      </c>
      <c r="AU118" s="47" t="s">
        <v>66</v>
      </c>
    </row>
    <row r="119" spans="1:47" ht="13.5" customHeight="1" x14ac:dyDescent="0.2">
      <c r="A119" s="20" t="s">
        <v>160</v>
      </c>
      <c r="B119" s="20"/>
      <c r="C119" s="20"/>
      <c r="D119" s="20"/>
      <c r="E119" s="21">
        <v>231411</v>
      </c>
      <c r="F119" s="22">
        <v>1</v>
      </c>
      <c r="G119" s="22">
        <v>1</v>
      </c>
      <c r="H119" s="23" t="s">
        <v>57</v>
      </c>
      <c r="I119" s="20" t="s">
        <v>81</v>
      </c>
      <c r="J119" s="20"/>
      <c r="AP119" s="44" t="s">
        <v>200</v>
      </c>
      <c r="AQ119" s="44">
        <v>231411</v>
      </c>
      <c r="AR119" s="44">
        <v>1</v>
      </c>
      <c r="AS119" s="44">
        <v>1</v>
      </c>
      <c r="AT119" s="46">
        <v>46101.447916666664</v>
      </c>
      <c r="AU119" s="47" t="s">
        <v>66</v>
      </c>
    </row>
    <row r="120" spans="1:47" ht="13.5" customHeight="1" x14ac:dyDescent="0.2">
      <c r="A120" s="20" t="s">
        <v>160</v>
      </c>
      <c r="B120" s="20"/>
      <c r="C120" s="20"/>
      <c r="D120" s="20"/>
      <c r="E120" s="21">
        <v>231411</v>
      </c>
      <c r="F120" s="22">
        <v>2</v>
      </c>
      <c r="G120" s="22">
        <v>1</v>
      </c>
      <c r="H120" s="23" t="s">
        <v>161</v>
      </c>
      <c r="I120" s="20" t="s">
        <v>81</v>
      </c>
      <c r="J120" s="20"/>
      <c r="AP120" s="44" t="s">
        <v>201</v>
      </c>
      <c r="AQ120" s="44">
        <v>231411</v>
      </c>
      <c r="AR120" s="44">
        <v>2</v>
      </c>
      <c r="AS120" s="44">
        <v>1</v>
      </c>
      <c r="AT120" s="46">
        <v>46101.484027777777</v>
      </c>
      <c r="AU120" s="47" t="s">
        <v>66</v>
      </c>
    </row>
    <row r="121" spans="1:47" ht="13.5" customHeight="1" x14ac:dyDescent="0.2">
      <c r="A121" s="20" t="s">
        <v>162</v>
      </c>
      <c r="B121" s="20"/>
      <c r="C121" s="20"/>
      <c r="D121" s="20"/>
      <c r="E121" s="21">
        <v>231412</v>
      </c>
      <c r="F121" s="22">
        <v>1</v>
      </c>
      <c r="G121" s="22">
        <v>1</v>
      </c>
      <c r="H121" s="23" t="s">
        <v>163</v>
      </c>
      <c r="I121" s="20" t="s">
        <v>87</v>
      </c>
      <c r="J121" s="20"/>
      <c r="AP121" s="44" t="s">
        <v>202</v>
      </c>
      <c r="AQ121" s="44">
        <v>231412</v>
      </c>
      <c r="AR121" s="44">
        <v>1</v>
      </c>
      <c r="AS121" s="44">
        <v>1</v>
      </c>
      <c r="AT121" s="46">
        <v>46101.543055555558</v>
      </c>
      <c r="AU121" s="47" t="s">
        <v>66</v>
      </c>
    </row>
    <row r="122" spans="1:47" ht="13.5" customHeight="1" x14ac:dyDescent="0.2">
      <c r="A122" s="24" t="s">
        <v>164</v>
      </c>
      <c r="B122" s="24"/>
      <c r="C122" s="24"/>
      <c r="D122" s="24"/>
      <c r="E122" s="25">
        <v>231413</v>
      </c>
      <c r="F122" s="26">
        <v>1</v>
      </c>
      <c r="G122" s="26">
        <v>1</v>
      </c>
      <c r="H122" s="27" t="s">
        <v>60</v>
      </c>
      <c r="I122" s="24" t="s">
        <v>59</v>
      </c>
      <c r="J122" s="24"/>
      <c r="K122" s="28"/>
      <c r="L122" s="28"/>
      <c r="M122" s="28"/>
      <c r="AP122" s="44" t="s">
        <v>203</v>
      </c>
      <c r="AQ122" s="44">
        <v>231413</v>
      </c>
      <c r="AR122" s="44">
        <v>1</v>
      </c>
      <c r="AS122" s="44">
        <v>1</v>
      </c>
      <c r="AT122" s="46">
        <v>46101.459027777775</v>
      </c>
      <c r="AU122" s="47" t="s">
        <v>66</v>
      </c>
    </row>
    <row r="123" spans="1:47" ht="13.5" customHeight="1" x14ac:dyDescent="0.2">
      <c r="A123" s="24" t="s">
        <v>165</v>
      </c>
      <c r="B123" s="24"/>
      <c r="C123" s="24"/>
      <c r="D123" s="24"/>
      <c r="E123" s="25">
        <v>231425</v>
      </c>
      <c r="F123" s="26">
        <v>2</v>
      </c>
      <c r="G123" s="26">
        <v>1</v>
      </c>
      <c r="H123" s="27" t="s">
        <v>166</v>
      </c>
      <c r="I123" s="24" t="s">
        <v>59</v>
      </c>
      <c r="J123" s="24"/>
      <c r="K123" s="28"/>
      <c r="L123" s="28"/>
      <c r="M123" s="28"/>
      <c r="AP123" s="44" t="s">
        <v>204</v>
      </c>
      <c r="AQ123" s="44">
        <v>231425</v>
      </c>
      <c r="AR123" s="44">
        <v>2</v>
      </c>
      <c r="AS123" s="44">
        <v>1</v>
      </c>
      <c r="AT123" s="46">
        <v>46101.496527777781</v>
      </c>
      <c r="AU123" s="47" t="s">
        <v>66</v>
      </c>
    </row>
    <row r="124" spans="1:47" ht="13.5" customHeight="1" x14ac:dyDescent="0.2">
      <c r="A124" s="24" t="s">
        <v>167</v>
      </c>
      <c r="B124" s="24"/>
      <c r="C124" s="24"/>
      <c r="D124" s="24"/>
      <c r="E124" s="25">
        <v>231444</v>
      </c>
      <c r="F124" s="26">
        <v>1</v>
      </c>
      <c r="G124" s="26">
        <v>1</v>
      </c>
      <c r="H124" s="27" t="s">
        <v>168</v>
      </c>
      <c r="I124" s="24" t="s">
        <v>59</v>
      </c>
      <c r="J124" s="24"/>
      <c r="K124" s="28"/>
      <c r="L124" s="28"/>
      <c r="M124" s="28"/>
      <c r="AP124" s="44"/>
      <c r="AQ124" s="44"/>
      <c r="AR124" s="44"/>
      <c r="AS124" s="44"/>
      <c r="AT124" s="44"/>
      <c r="AU124" s="44"/>
    </row>
    <row r="125" spans="1:47" ht="13.5" customHeight="1" x14ac:dyDescent="0.2">
      <c r="A125" s="24" t="s">
        <v>167</v>
      </c>
      <c r="B125" s="24"/>
      <c r="C125" s="24"/>
      <c r="D125" s="24"/>
      <c r="E125" s="25">
        <v>231444</v>
      </c>
      <c r="F125" s="26">
        <v>2</v>
      </c>
      <c r="G125" s="26">
        <v>1</v>
      </c>
      <c r="H125" s="27" t="s">
        <v>60</v>
      </c>
      <c r="I125" s="24" t="s">
        <v>59</v>
      </c>
      <c r="J125" s="24"/>
      <c r="K125" s="28"/>
      <c r="L125" s="28"/>
      <c r="M125" s="28"/>
      <c r="AP125" s="44" t="s">
        <v>205</v>
      </c>
      <c r="AQ125" s="44">
        <v>231444</v>
      </c>
      <c r="AR125" s="44">
        <v>2</v>
      </c>
      <c r="AS125" s="44">
        <v>1</v>
      </c>
      <c r="AT125" s="46">
        <v>46101.581250000003</v>
      </c>
      <c r="AU125" s="47" t="s">
        <v>66</v>
      </c>
    </row>
    <row r="126" spans="1:47" ht="13.5" customHeight="1" x14ac:dyDescent="0.2">
      <c r="A126" s="24" t="s">
        <v>167</v>
      </c>
      <c r="B126" s="24"/>
      <c r="C126" s="24"/>
      <c r="D126" s="24"/>
      <c r="E126" s="25">
        <v>231445</v>
      </c>
      <c r="F126" s="26">
        <v>1</v>
      </c>
      <c r="G126" s="26">
        <v>1</v>
      </c>
      <c r="H126" s="27" t="s">
        <v>60</v>
      </c>
      <c r="I126" s="24" t="s">
        <v>59</v>
      </c>
      <c r="J126" s="24"/>
      <c r="K126" s="28"/>
      <c r="L126" s="28"/>
      <c r="M126" s="28"/>
      <c r="AP126" s="44" t="s">
        <v>206</v>
      </c>
      <c r="AQ126" s="44">
        <v>231445</v>
      </c>
      <c r="AR126" s="44">
        <v>1</v>
      </c>
      <c r="AS126" s="44">
        <v>1</v>
      </c>
      <c r="AT126" s="46">
        <v>46101.573611111111</v>
      </c>
      <c r="AU126" s="47" t="s">
        <v>66</v>
      </c>
    </row>
    <row r="127" spans="1:47" ht="13.5" customHeight="1" x14ac:dyDescent="0.2">
      <c r="A127" s="24" t="s">
        <v>167</v>
      </c>
      <c r="B127" s="24"/>
      <c r="C127" s="24"/>
      <c r="D127" s="24"/>
      <c r="E127" s="25">
        <v>231445</v>
      </c>
      <c r="F127" s="26">
        <v>2</v>
      </c>
      <c r="G127" s="26">
        <v>1</v>
      </c>
      <c r="H127" s="27" t="s">
        <v>169</v>
      </c>
      <c r="I127" s="24" t="s">
        <v>59</v>
      </c>
      <c r="J127" s="24"/>
      <c r="K127" s="28"/>
      <c r="L127" s="28"/>
      <c r="M127" s="28"/>
      <c r="AP127" s="44" t="s">
        <v>207</v>
      </c>
      <c r="AQ127" s="44">
        <v>231445</v>
      </c>
      <c r="AR127" s="44">
        <v>2</v>
      </c>
      <c r="AS127" s="44">
        <v>1</v>
      </c>
      <c r="AT127" s="46">
        <v>46101.556250000001</v>
      </c>
      <c r="AU127" s="47" t="s">
        <v>66</v>
      </c>
    </row>
    <row r="128" spans="1:47" ht="13.5" customHeight="1" x14ac:dyDescent="0.2">
      <c r="A128" s="24" t="s">
        <v>170</v>
      </c>
      <c r="B128" s="24"/>
      <c r="C128" s="24"/>
      <c r="D128" s="24"/>
      <c r="E128" s="25">
        <v>231446</v>
      </c>
      <c r="F128" s="26">
        <v>1</v>
      </c>
      <c r="G128" s="26">
        <v>1</v>
      </c>
      <c r="H128" s="27" t="s">
        <v>171</v>
      </c>
      <c r="I128" s="24" t="s">
        <v>59</v>
      </c>
      <c r="J128" s="24"/>
      <c r="K128" s="28"/>
      <c r="L128" s="28"/>
      <c r="M128" s="28"/>
      <c r="AP128" s="44" t="s">
        <v>208</v>
      </c>
      <c r="AQ128" s="44">
        <v>231446</v>
      </c>
      <c r="AR128" s="44">
        <v>1</v>
      </c>
      <c r="AS128" s="44">
        <v>1</v>
      </c>
      <c r="AT128" s="46">
        <v>46101.55972222222</v>
      </c>
      <c r="AU128" s="47" t="s">
        <v>66</v>
      </c>
    </row>
    <row r="129" spans="1:47" ht="13.5" customHeight="1" x14ac:dyDescent="0.2">
      <c r="A129" s="24" t="s">
        <v>170</v>
      </c>
      <c r="B129" s="24"/>
      <c r="C129" s="24"/>
      <c r="D129" s="24"/>
      <c r="E129" s="25">
        <v>231446</v>
      </c>
      <c r="F129" s="26">
        <v>2</v>
      </c>
      <c r="G129" s="26">
        <v>1</v>
      </c>
      <c r="H129" s="27" t="s">
        <v>172</v>
      </c>
      <c r="I129" s="24" t="s">
        <v>59</v>
      </c>
      <c r="J129" s="24"/>
      <c r="K129" s="28"/>
      <c r="L129" s="28"/>
      <c r="M129" s="28"/>
      <c r="AP129" s="44" t="s">
        <v>209</v>
      </c>
      <c r="AQ129" s="44">
        <v>231446</v>
      </c>
      <c r="AR129" s="44">
        <v>2</v>
      </c>
      <c r="AS129" s="44">
        <v>1</v>
      </c>
      <c r="AT129" s="46">
        <v>46104.47152777778</v>
      </c>
      <c r="AU129" s="47" t="s">
        <v>66</v>
      </c>
    </row>
    <row r="130" spans="1:47" ht="13.5" customHeight="1" x14ac:dyDescent="0.2">
      <c r="A130" s="24" t="s">
        <v>170</v>
      </c>
      <c r="B130" s="24"/>
      <c r="C130" s="24"/>
      <c r="D130" s="24"/>
      <c r="E130" s="25">
        <v>231447</v>
      </c>
      <c r="F130" s="26">
        <v>1</v>
      </c>
      <c r="G130" s="26">
        <v>1</v>
      </c>
      <c r="H130" s="27" t="s">
        <v>60</v>
      </c>
      <c r="I130" s="24" t="s">
        <v>59</v>
      </c>
      <c r="J130" s="24"/>
      <c r="K130" s="28"/>
      <c r="L130" s="28"/>
      <c r="M130" s="28"/>
      <c r="AP130" s="44" t="s">
        <v>210</v>
      </c>
      <c r="AQ130" s="44">
        <v>231447</v>
      </c>
      <c r="AR130" s="44">
        <v>1</v>
      </c>
      <c r="AS130" s="44">
        <v>1</v>
      </c>
      <c r="AT130" s="46">
        <v>46101.573611111111</v>
      </c>
      <c r="AU130" s="47" t="s">
        <v>66</v>
      </c>
    </row>
    <row r="131" spans="1:47" ht="13.5" customHeight="1" x14ac:dyDescent="0.2">
      <c r="A131" s="24" t="s">
        <v>170</v>
      </c>
      <c r="B131" s="24"/>
      <c r="C131" s="24"/>
      <c r="D131" s="24"/>
      <c r="E131" s="25">
        <v>231447</v>
      </c>
      <c r="F131" s="26">
        <v>2</v>
      </c>
      <c r="G131" s="26">
        <v>1</v>
      </c>
      <c r="H131" s="27" t="s">
        <v>173</v>
      </c>
      <c r="I131" s="24" t="s">
        <v>59</v>
      </c>
      <c r="J131" s="24"/>
      <c r="K131" s="28"/>
      <c r="L131" s="28"/>
      <c r="M131" s="28"/>
      <c r="AP131" s="44" t="s">
        <v>211</v>
      </c>
      <c r="AQ131" s="44">
        <v>231447</v>
      </c>
      <c r="AR131" s="44">
        <v>2</v>
      </c>
      <c r="AS131" s="44">
        <v>1</v>
      </c>
      <c r="AT131" s="46">
        <v>46101.560416666667</v>
      </c>
      <c r="AU131" s="47" t="s">
        <v>66</v>
      </c>
    </row>
    <row r="132" spans="1:47" ht="13.5" customHeight="1" x14ac:dyDescent="0.2">
      <c r="A132" s="62" t="s">
        <v>186</v>
      </c>
      <c r="B132" s="62"/>
      <c r="C132" s="62"/>
      <c r="D132" s="62"/>
      <c r="E132" s="63">
        <v>231489</v>
      </c>
      <c r="F132" s="64">
        <v>2</v>
      </c>
      <c r="G132" s="64">
        <v>1</v>
      </c>
      <c r="H132" s="65" t="s">
        <v>174</v>
      </c>
      <c r="I132" s="62" t="s">
        <v>175</v>
      </c>
      <c r="J132" s="62"/>
      <c r="K132" s="66"/>
      <c r="L132" s="66"/>
      <c r="M132" s="66"/>
    </row>
    <row r="133" spans="1:47" ht="13.5" customHeight="1" x14ac:dyDescent="0.2">
      <c r="A133" s="62" t="s">
        <v>186</v>
      </c>
      <c r="B133" s="62"/>
      <c r="C133" s="62"/>
      <c r="D133" s="62"/>
      <c r="E133" s="63">
        <v>231489</v>
      </c>
      <c r="F133" s="64">
        <v>3</v>
      </c>
      <c r="G133" s="64">
        <v>1</v>
      </c>
      <c r="H133" s="65" t="s">
        <v>176</v>
      </c>
      <c r="I133" s="62" t="s">
        <v>175</v>
      </c>
      <c r="J133" s="62"/>
      <c r="K133" s="66"/>
      <c r="L133" s="66"/>
      <c r="M133" s="66"/>
    </row>
    <row r="134" spans="1:47" ht="13.5" customHeight="1" x14ac:dyDescent="0.2">
      <c r="A134" s="62" t="s">
        <v>186</v>
      </c>
      <c r="B134" s="62"/>
      <c r="C134" s="62"/>
      <c r="D134" s="62"/>
      <c r="E134" s="63">
        <v>231489</v>
      </c>
      <c r="F134" s="64">
        <v>4</v>
      </c>
      <c r="G134" s="64">
        <v>1</v>
      </c>
      <c r="H134" s="65" t="s">
        <v>174</v>
      </c>
      <c r="I134" s="62" t="s">
        <v>175</v>
      </c>
      <c r="J134" s="62"/>
      <c r="K134" s="66"/>
      <c r="L134" s="66"/>
      <c r="M134" s="66"/>
    </row>
    <row r="135" spans="1:47" ht="13.5" customHeight="1" x14ac:dyDescent="0.2">
      <c r="A135" s="57" t="s">
        <v>61</v>
      </c>
      <c r="B135" s="57"/>
      <c r="C135" s="57"/>
      <c r="D135" s="57"/>
      <c r="E135" s="58">
        <v>231540</v>
      </c>
      <c r="F135" s="59">
        <v>1</v>
      </c>
      <c r="G135" s="59">
        <v>1</v>
      </c>
      <c r="H135" s="60" t="s">
        <v>181</v>
      </c>
      <c r="I135" s="57" t="s">
        <v>62</v>
      </c>
      <c r="J135" s="57"/>
      <c r="K135" s="61"/>
      <c r="L135" s="61"/>
      <c r="M135" s="61"/>
      <c r="N135" s="34"/>
    </row>
    <row r="136" spans="1:47" ht="12" customHeight="1" x14ac:dyDescent="0.2"/>
    <row r="137" spans="1:47" ht="12.95" customHeight="1" x14ac:dyDescent="0.2"/>
    <row r="138" spans="1:47" ht="15" customHeight="1" x14ac:dyDescent="0.2">
      <c r="J138" s="29"/>
      <c r="K138" s="30"/>
      <c r="L138" s="30"/>
      <c r="M138" s="30"/>
      <c r="N138" s="30"/>
    </row>
  </sheetData>
  <sheetProtection sheet="1" objects="1" scenarios="1" selectLockedCells="1"/>
  <mergeCells count="265">
    <mergeCell ref="A134:D134"/>
    <mergeCell ref="I134:J134"/>
    <mergeCell ref="A135:D135"/>
    <mergeCell ref="I135:J135"/>
    <mergeCell ref="A131:D131"/>
    <mergeCell ref="I131:J131"/>
    <mergeCell ref="A132:D132"/>
    <mergeCell ref="I132:J132"/>
    <mergeCell ref="A133:D133"/>
    <mergeCell ref="I133:J133"/>
    <mergeCell ref="A128:D128"/>
    <mergeCell ref="I128:J128"/>
    <mergeCell ref="A129:D129"/>
    <mergeCell ref="I129:J129"/>
    <mergeCell ref="A130:D130"/>
    <mergeCell ref="I130:J130"/>
    <mergeCell ref="A125:D125"/>
    <mergeCell ref="I125:J125"/>
    <mergeCell ref="A126:D126"/>
    <mergeCell ref="I126:J126"/>
    <mergeCell ref="A127:D127"/>
    <mergeCell ref="I127:J127"/>
    <mergeCell ref="A122:D122"/>
    <mergeCell ref="I122:J122"/>
    <mergeCell ref="A123:D123"/>
    <mergeCell ref="I123:J123"/>
    <mergeCell ref="A124:D124"/>
    <mergeCell ref="I124:J124"/>
    <mergeCell ref="A119:D119"/>
    <mergeCell ref="I119:J119"/>
    <mergeCell ref="A120:D120"/>
    <mergeCell ref="I120:J120"/>
    <mergeCell ref="A121:D121"/>
    <mergeCell ref="I121:J121"/>
    <mergeCell ref="A116:D116"/>
    <mergeCell ref="I116:J116"/>
    <mergeCell ref="A117:D117"/>
    <mergeCell ref="I117:J117"/>
    <mergeCell ref="A118:D118"/>
    <mergeCell ref="I118:J118"/>
    <mergeCell ref="A113:D113"/>
    <mergeCell ref="I113:J113"/>
    <mergeCell ref="A114:D114"/>
    <mergeCell ref="I114:J114"/>
    <mergeCell ref="A115:D115"/>
    <mergeCell ref="I115:J115"/>
    <mergeCell ref="A110:D110"/>
    <mergeCell ref="I110:J110"/>
    <mergeCell ref="A111:D111"/>
    <mergeCell ref="I111:J111"/>
    <mergeCell ref="A112:D112"/>
    <mergeCell ref="I112:J112"/>
    <mergeCell ref="A107:D107"/>
    <mergeCell ref="I107:J107"/>
    <mergeCell ref="A108:D108"/>
    <mergeCell ref="I108:J108"/>
    <mergeCell ref="A109:D109"/>
    <mergeCell ref="I109:J109"/>
    <mergeCell ref="A103:D103"/>
    <mergeCell ref="I103:J103"/>
    <mergeCell ref="A104:D104"/>
    <mergeCell ref="I104:J104"/>
    <mergeCell ref="A106:D106"/>
    <mergeCell ref="I106:J106"/>
    <mergeCell ref="A100:D100"/>
    <mergeCell ref="I100:J100"/>
    <mergeCell ref="A101:D101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10:D10"/>
    <mergeCell ref="I10:J10"/>
    <mergeCell ref="A11:D11"/>
    <mergeCell ref="I11:J11"/>
    <mergeCell ref="A12:D12"/>
    <mergeCell ref="I12:J12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AB468-3168-498E-82A1-F7206B8B50AE}">
  <sheetPr codeName="Sheet7">
    <outlinePr summaryBelow="0" summaryRight="0"/>
    <pageSetUpPr autoPageBreaks="0"/>
  </sheetPr>
  <dimension ref="A1:AV138"/>
  <sheetViews>
    <sheetView topLeftCell="G1" workbookViewId="0">
      <pane ySplit="2" topLeftCell="A3" activePane="bottomLeft" state="frozenSplit"/>
      <selection pane="bottomLeft" activeCell="X3" sqref="X3:AG3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6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2" hidden="1" customWidth="1"/>
    <col min="16" max="16" width="20.7109375" style="4" hidden="1" customWidth="1"/>
    <col min="17" max="17" width="12.7109375" style="4" hidden="1" customWidth="1"/>
    <col min="18" max="18" width="10.7109375" style="4" hidden="1" customWidth="1"/>
    <col min="19" max="19" width="16.7109375" style="4" hidden="1" customWidth="1"/>
    <col min="20" max="20" width="25.7109375" style="5" hidden="1" customWidth="1"/>
    <col min="21" max="22" width="15.7109375" style="4" hidden="1" customWidth="1"/>
    <col min="23" max="23" width="20.7109375" style="4" hidden="1" customWidth="1"/>
    <col min="24" max="24" width="18.7109375" style="2" customWidth="1"/>
    <col min="25" max="27" width="20.7109375" style="4" customWidth="1"/>
    <col min="28" max="28" width="16.7109375" style="4" customWidth="1"/>
    <col min="29" max="29" width="25.7109375" style="5" customWidth="1"/>
    <col min="30" max="30" width="20.7109375" style="4" customWidth="1"/>
    <col min="31" max="31" width="2.7109375" style="4" customWidth="1"/>
    <col min="32" max="32" width="20.7109375" style="4" customWidth="1"/>
    <col min="33" max="33" width="15.7109375" style="4" customWidth="1"/>
    <col min="34" max="40" width="6.85546875" style="3"/>
    <col min="41" max="41" width="18.7109375" style="2" hidden="1" customWidth="1"/>
    <col min="42" max="42" width="20.7109375" style="4" hidden="1" customWidth="1"/>
    <col min="43" max="43" width="12.7109375" style="4" hidden="1" customWidth="1"/>
    <col min="44" max="44" width="10.7109375" style="4" hidden="1" customWidth="1"/>
    <col min="45" max="45" width="16.7109375" style="4" hidden="1" customWidth="1"/>
    <col min="46" max="46" width="25.7109375" style="4" hidden="1" customWidth="1"/>
    <col min="47" max="47" width="15.7109375" style="4" hidden="1" customWidth="1"/>
    <col min="48" max="48" width="20.7109375" style="4" hidden="1" customWidth="1"/>
    <col min="49" max="16384" width="6.85546875" style="3"/>
  </cols>
  <sheetData>
    <row r="1" spans="1:48" s="12" customFormat="1" ht="6.75" customHeight="1" x14ac:dyDescent="0.2">
      <c r="O1" s="31"/>
      <c r="P1" s="32"/>
      <c r="Q1" s="32"/>
      <c r="R1" s="32"/>
      <c r="S1" s="32"/>
      <c r="T1" s="33"/>
      <c r="U1" s="32"/>
      <c r="V1" s="32"/>
      <c r="W1" s="32"/>
      <c r="X1" s="31"/>
      <c r="Y1" s="32"/>
      <c r="Z1" s="32"/>
      <c r="AA1" s="32"/>
      <c r="AB1" s="32"/>
      <c r="AC1" s="33"/>
      <c r="AD1" s="32"/>
      <c r="AE1" s="32"/>
      <c r="AF1" s="32"/>
      <c r="AG1" s="32"/>
      <c r="AO1" s="31"/>
      <c r="AP1" s="32"/>
      <c r="AQ1" s="32"/>
      <c r="AR1" s="32"/>
      <c r="AS1" s="32"/>
      <c r="AT1" s="32"/>
      <c r="AU1" s="32"/>
      <c r="AV1" s="32"/>
    </row>
    <row r="2" spans="1:48" s="12" customFormat="1" ht="24" customHeight="1" x14ac:dyDescent="0.2">
      <c r="D2" s="13" t="s">
        <v>0</v>
      </c>
      <c r="E2" s="13"/>
      <c r="F2" s="13"/>
      <c r="G2" s="13"/>
      <c r="H2" s="13"/>
      <c r="I2" s="14" t="s">
        <v>70</v>
      </c>
      <c r="J2" s="14"/>
      <c r="K2" s="14"/>
      <c r="L2" s="14"/>
      <c r="O2" s="54" t="str">
        <f ca="1">"Outbound: "&amp;SUMPRODUCT(SUBTOTAL(103,OFFSET($E$6,ROW($E$6:$E$135)-ROW($E$6),0,1)),--($U$6:$U$135="OK"),--($E$6:$E$135&lt;&gt;""))&amp;"/"&amp;SUMPRODUCT(SUBTOTAL(103,OFFSET($E$6,ROW($E$6:$E$135)-ROW($E$6),0,1)),--($E$6:$E$135&lt;&gt;""))&amp;" • "&amp;TEXT(IFERROR(SUMPRODUCT(SUBTOTAL(103,OFFSET($E$6,ROW($E$6:$E$135)-ROW($E$6),0,1)),--((($V$6:$V$135="On-Time")+($V$6:$V$135="Early"))&gt;0),--($E$6:$E$135&lt;&gt;""))/SUMPRODUCT(SUBTOTAL(103,OFFSET($E$6,ROW($E$6:$E$135)-ROW($E$6),0,1)),--($E$6:$E$135&lt;&gt;"")),0),"0.0%")&amp;" On Time"</f>
        <v>Outbound: 1/117 • 0.9% On Time</v>
      </c>
      <c r="P2" s="54"/>
      <c r="Q2" s="54"/>
      <c r="R2" s="54"/>
      <c r="S2" s="54"/>
      <c r="T2" s="54"/>
      <c r="U2" s="54"/>
      <c r="V2" s="54"/>
      <c r="W2" s="54"/>
      <c r="X2" s="55" t="str">
        <f ca="1">"Inbound: "&amp;SUMPRODUCT(SUBTOTAL(103,OFFSET($E$6,ROW($E$6:$E$135)-ROW($E$6),0,1)),--($AD$6:$AD$135="Received"),--($E$6:$E$135&lt;&gt;""))&amp;"/"&amp;SUMPRODUCT(SUBTOTAL(103,OFFSET($E$6,ROW($E$6:$E$135)-ROW($E$6),0,1)),--($E$6:$E$135&lt;&gt;""))&amp;" • "&amp;TEXT(IFERROR(SUMPRODUCT(SUBTOTAL(103,OFFSET($E$6,ROW($E$6:$E$135)-ROW($E$6),0,1)),--($AD$6:$AD$135="Received"),--($E$6:$E$135&lt;&gt;""))/SUMPRODUCT(SUBTOTAL(103,OFFSET($E$6,ROW($E$6:$E$135)-ROW($E$6),0,1)),--($E$6:$E$135&lt;&gt;"")),0),"0.0%")&amp;" Complete"</f>
        <v>Inbound: 0/117 • 0.0% Complete</v>
      </c>
      <c r="Y2" s="55"/>
      <c r="Z2" s="55"/>
      <c r="AA2" s="55"/>
      <c r="AB2" s="55"/>
      <c r="AC2" s="55"/>
      <c r="AD2" s="55"/>
      <c r="AE2" s="55"/>
      <c r="AF2" s="55"/>
      <c r="AG2" s="55"/>
      <c r="AO2" s="56" t="str">
        <f ca="1">"Staged: "&amp;SUMPRODUCT(SUBTOTAL(103,OFFSET($E$6,ROW($E$6:$E$135)-ROW($E$6),0,1)),--($AU$6:$AU$135="OK"),--($E$6:$E$135&lt;&gt;""))&amp;"/"&amp;SUMPRODUCT(SUBTOTAL(103,OFFSET($E$6,ROW($E$6:$E$135)-ROW($E$6),0,1)),--($E$6:$E$135&lt;&gt;""))&amp;" • "&amp;TEXT(IFERROR(SUMPRODUCT(SUBTOTAL(103,OFFSET($E$6,ROW($E$6:$E$135)-ROW($E$6),0,1)),--($AU$6:$AU$135="OK"),--($E$6:$E$135&lt;&gt;""))/SUMPRODUCT(SUBTOTAL(103,OFFSET($E$6,ROW($E$6:$E$135)-ROW($E$6),0,1)),--($E$6:$E$135&lt;&gt;"")),0),"0.0%")&amp;" Complete"</f>
        <v>Staged: 15/117 • 12.8% Complete</v>
      </c>
      <c r="AP2" s="56"/>
      <c r="AQ2" s="56"/>
      <c r="AR2" s="56"/>
      <c r="AS2" s="56"/>
      <c r="AT2" s="56"/>
      <c r="AU2" s="56"/>
      <c r="AV2" s="56"/>
    </row>
    <row r="3" spans="1:48" ht="85.5" customHeight="1" x14ac:dyDescent="0.2">
      <c r="O3" s="9" t="s">
        <v>36</v>
      </c>
      <c r="P3" s="10"/>
      <c r="Q3" s="10"/>
      <c r="R3" s="10"/>
      <c r="S3" s="10"/>
      <c r="T3" s="10"/>
      <c r="U3" s="10"/>
      <c r="V3" s="10"/>
      <c r="W3" s="10"/>
      <c r="X3" s="9" t="s">
        <v>38</v>
      </c>
      <c r="Y3" s="10"/>
      <c r="Z3" s="10"/>
      <c r="AA3" s="10"/>
      <c r="AB3" s="10"/>
      <c r="AC3" s="10"/>
      <c r="AD3" s="10"/>
      <c r="AE3" s="10"/>
      <c r="AF3" s="10"/>
      <c r="AG3" s="10"/>
      <c r="AO3" s="9" t="s">
        <v>37</v>
      </c>
      <c r="AP3" s="10"/>
      <c r="AQ3" s="10"/>
      <c r="AR3" s="10"/>
      <c r="AS3" s="10"/>
      <c r="AT3" s="10"/>
      <c r="AU3" s="10"/>
      <c r="AV3" s="10"/>
    </row>
    <row r="4" spans="1:48" ht="20.100000000000001" customHeight="1" x14ac:dyDescent="0.2">
      <c r="O4" s="6" t="s">
        <v>9</v>
      </c>
      <c r="P4" s="11"/>
      <c r="X4" s="6" t="s">
        <v>9</v>
      </c>
      <c r="Y4" s="11"/>
      <c r="AO4" s="6" t="s">
        <v>9</v>
      </c>
      <c r="AP4" s="11"/>
      <c r="AT4" s="5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64</v>
      </c>
      <c r="M5" s="18"/>
      <c r="P5" s="7" t="s">
        <v>10</v>
      </c>
      <c r="Q5" s="7" t="s">
        <v>2</v>
      </c>
      <c r="R5" s="7" t="s">
        <v>3</v>
      </c>
      <c r="S5" s="7" t="s">
        <v>11</v>
      </c>
      <c r="T5" s="8" t="s">
        <v>12</v>
      </c>
      <c r="U5" s="7" t="s">
        <v>13</v>
      </c>
      <c r="V5" s="7" t="s">
        <v>14</v>
      </c>
      <c r="W5" s="7" t="s">
        <v>15</v>
      </c>
      <c r="Y5" s="7" t="s">
        <v>16</v>
      </c>
      <c r="Z5" s="7" t="s">
        <v>17</v>
      </c>
      <c r="AA5" s="7" t="s">
        <v>18</v>
      </c>
      <c r="AB5" s="7" t="s">
        <v>19</v>
      </c>
      <c r="AC5" s="8" t="s">
        <v>20</v>
      </c>
      <c r="AD5" s="7" t="s">
        <v>21</v>
      </c>
      <c r="AE5" s="7"/>
      <c r="AF5" s="7" t="s">
        <v>15</v>
      </c>
      <c r="AG5" s="7" t="s">
        <v>22</v>
      </c>
      <c r="AP5" s="7" t="s">
        <v>10</v>
      </c>
      <c r="AQ5" s="7" t="s">
        <v>2</v>
      </c>
      <c r="AR5" s="7" t="s">
        <v>3</v>
      </c>
      <c r="AS5" s="7" t="s">
        <v>11</v>
      </c>
      <c r="AT5" s="7" t="s">
        <v>12</v>
      </c>
      <c r="AU5" s="7" t="s">
        <v>13</v>
      </c>
      <c r="AV5" s="7" t="s">
        <v>15</v>
      </c>
    </row>
    <row r="6" spans="1:48" ht="8.25" customHeight="1" x14ac:dyDescent="0.2"/>
    <row r="7" spans="1:48" ht="13.5" customHeight="1" x14ac:dyDescent="0.2">
      <c r="A7" s="19" t="s">
        <v>7</v>
      </c>
    </row>
    <row r="8" spans="1:48" ht="13.5" customHeight="1" x14ac:dyDescent="0.2">
      <c r="A8" s="20" t="s">
        <v>71</v>
      </c>
      <c r="B8" s="20"/>
      <c r="C8" s="20"/>
      <c r="D8" s="20"/>
      <c r="E8" s="21">
        <v>231377</v>
      </c>
      <c r="F8" s="22">
        <v>1</v>
      </c>
      <c r="G8" s="22">
        <v>1</v>
      </c>
      <c r="H8" s="23" t="s">
        <v>72</v>
      </c>
      <c r="I8" s="20" t="s">
        <v>73</v>
      </c>
      <c r="J8" s="20"/>
    </row>
    <row r="9" spans="1:48" ht="13.5" customHeight="1" x14ac:dyDescent="0.2">
      <c r="A9" s="20" t="s">
        <v>71</v>
      </c>
      <c r="B9" s="20"/>
      <c r="C9" s="20"/>
      <c r="D9" s="20"/>
      <c r="E9" s="21">
        <v>231377</v>
      </c>
      <c r="F9" s="22">
        <v>2</v>
      </c>
      <c r="G9" s="22">
        <v>1</v>
      </c>
      <c r="H9" s="23" t="s">
        <v>74</v>
      </c>
      <c r="I9" s="20" t="s">
        <v>73</v>
      </c>
      <c r="J9" s="20"/>
    </row>
    <row r="10" spans="1:48" ht="13.5" customHeight="1" x14ac:dyDescent="0.2">
      <c r="A10" s="20" t="s">
        <v>75</v>
      </c>
      <c r="B10" s="20"/>
      <c r="C10" s="20"/>
      <c r="D10" s="20"/>
      <c r="E10" s="21">
        <v>231378</v>
      </c>
      <c r="F10" s="22">
        <v>1</v>
      </c>
      <c r="G10" s="22">
        <v>2</v>
      </c>
      <c r="H10" s="23" t="s">
        <v>72</v>
      </c>
      <c r="I10" s="20" t="s">
        <v>73</v>
      </c>
      <c r="J10" s="20"/>
    </row>
    <row r="11" spans="1:48" ht="13.5" customHeight="1" x14ac:dyDescent="0.2">
      <c r="A11" s="20" t="s">
        <v>75</v>
      </c>
      <c r="B11" s="20"/>
      <c r="C11" s="20"/>
      <c r="D11" s="20"/>
      <c r="E11" s="21">
        <v>231378</v>
      </c>
      <c r="F11" s="22">
        <v>2</v>
      </c>
      <c r="G11" s="22">
        <v>1</v>
      </c>
      <c r="H11" s="23" t="s">
        <v>74</v>
      </c>
      <c r="I11" s="20" t="s">
        <v>73</v>
      </c>
      <c r="J11" s="20"/>
    </row>
    <row r="12" spans="1:48" ht="13.5" customHeight="1" x14ac:dyDescent="0.2">
      <c r="A12" s="20" t="s">
        <v>76</v>
      </c>
      <c r="B12" s="20"/>
      <c r="C12" s="20"/>
      <c r="D12" s="20"/>
      <c r="E12" s="21">
        <v>231380</v>
      </c>
      <c r="F12" s="22">
        <v>1</v>
      </c>
      <c r="G12" s="22">
        <v>1</v>
      </c>
      <c r="H12" s="23" t="s">
        <v>51</v>
      </c>
      <c r="I12" s="20" t="s">
        <v>52</v>
      </c>
      <c r="J12" s="20"/>
    </row>
    <row r="13" spans="1:48" ht="13.5" customHeight="1" x14ac:dyDescent="0.2">
      <c r="A13" s="20" t="s">
        <v>76</v>
      </c>
      <c r="B13" s="20"/>
      <c r="C13" s="20"/>
      <c r="D13" s="20"/>
      <c r="E13" s="21">
        <v>231380</v>
      </c>
      <c r="F13" s="22">
        <v>2</v>
      </c>
      <c r="G13" s="22">
        <v>1</v>
      </c>
      <c r="H13" s="23" t="s">
        <v>77</v>
      </c>
      <c r="I13" s="20" t="s">
        <v>52</v>
      </c>
      <c r="J13" s="20"/>
    </row>
    <row r="14" spans="1:48" ht="13.5" customHeight="1" x14ac:dyDescent="0.2">
      <c r="A14" s="20" t="s">
        <v>76</v>
      </c>
      <c r="B14" s="20"/>
      <c r="C14" s="20"/>
      <c r="D14" s="20"/>
      <c r="E14" s="21">
        <v>231380</v>
      </c>
      <c r="F14" s="22">
        <v>3</v>
      </c>
      <c r="G14" s="22">
        <v>1</v>
      </c>
      <c r="H14" s="23" t="s">
        <v>78</v>
      </c>
      <c r="I14" s="20" t="s">
        <v>52</v>
      </c>
      <c r="J14" s="20"/>
    </row>
    <row r="15" spans="1:48" ht="13.5" customHeight="1" x14ac:dyDescent="0.2">
      <c r="A15" s="20" t="s">
        <v>76</v>
      </c>
      <c r="B15" s="20"/>
      <c r="C15" s="20"/>
      <c r="D15" s="20"/>
      <c r="E15" s="21">
        <v>231380</v>
      </c>
      <c r="F15" s="22">
        <v>4</v>
      </c>
      <c r="G15" s="22">
        <v>1</v>
      </c>
      <c r="H15" s="23" t="s">
        <v>79</v>
      </c>
      <c r="I15" s="20" t="s">
        <v>52</v>
      </c>
      <c r="J15" s="20"/>
    </row>
    <row r="16" spans="1:48" ht="13.5" customHeight="1" x14ac:dyDescent="0.2">
      <c r="A16" s="20" t="s">
        <v>76</v>
      </c>
      <c r="B16" s="20"/>
      <c r="C16" s="20"/>
      <c r="D16" s="20"/>
      <c r="E16" s="21">
        <v>231380</v>
      </c>
      <c r="F16" s="22">
        <v>5</v>
      </c>
      <c r="G16" s="22">
        <v>1</v>
      </c>
      <c r="H16" s="23" t="s">
        <v>50</v>
      </c>
      <c r="I16" s="20" t="s">
        <v>52</v>
      </c>
      <c r="J16" s="20"/>
    </row>
    <row r="17" spans="1:10" ht="13.5" customHeight="1" x14ac:dyDescent="0.2">
      <c r="A17" s="20" t="s">
        <v>80</v>
      </c>
      <c r="B17" s="20"/>
      <c r="C17" s="20"/>
      <c r="D17" s="20"/>
      <c r="E17" s="21">
        <v>231381</v>
      </c>
      <c r="F17" s="22">
        <v>1</v>
      </c>
      <c r="G17" s="22">
        <v>1</v>
      </c>
      <c r="H17" s="23" t="s">
        <v>48</v>
      </c>
      <c r="I17" s="20" t="s">
        <v>81</v>
      </c>
      <c r="J17" s="20"/>
    </row>
    <row r="18" spans="1:10" ht="13.5" customHeight="1" x14ac:dyDescent="0.2">
      <c r="A18" s="20" t="s">
        <v>80</v>
      </c>
      <c r="B18" s="20"/>
      <c r="C18" s="20"/>
      <c r="D18" s="20"/>
      <c r="E18" s="21">
        <v>231381</v>
      </c>
      <c r="F18" s="22">
        <v>2</v>
      </c>
      <c r="G18" s="22">
        <v>1</v>
      </c>
      <c r="H18" s="23" t="s">
        <v>82</v>
      </c>
      <c r="I18" s="20" t="s">
        <v>81</v>
      </c>
      <c r="J18" s="20"/>
    </row>
    <row r="19" spans="1:10" ht="13.5" customHeight="1" x14ac:dyDescent="0.2">
      <c r="A19" s="20" t="s">
        <v>80</v>
      </c>
      <c r="B19" s="20"/>
      <c r="C19" s="20"/>
      <c r="D19" s="20"/>
      <c r="E19" s="21">
        <v>231381</v>
      </c>
      <c r="F19" s="22">
        <v>3</v>
      </c>
      <c r="G19" s="22">
        <v>1</v>
      </c>
      <c r="H19" s="23" t="s">
        <v>83</v>
      </c>
      <c r="I19" s="20" t="s">
        <v>81</v>
      </c>
      <c r="J19" s="20"/>
    </row>
    <row r="20" spans="1:10" ht="13.5" customHeight="1" x14ac:dyDescent="0.2">
      <c r="A20" s="20" t="s">
        <v>80</v>
      </c>
      <c r="B20" s="20"/>
      <c r="C20" s="20"/>
      <c r="D20" s="20"/>
      <c r="E20" s="21">
        <v>231381</v>
      </c>
      <c r="F20" s="22">
        <v>4</v>
      </c>
      <c r="G20" s="22">
        <v>2</v>
      </c>
      <c r="H20" s="23" t="s">
        <v>84</v>
      </c>
      <c r="I20" s="20" t="s">
        <v>81</v>
      </c>
      <c r="J20" s="20"/>
    </row>
    <row r="21" spans="1:10" ht="13.5" customHeight="1" x14ac:dyDescent="0.2">
      <c r="A21" s="20" t="s">
        <v>85</v>
      </c>
      <c r="B21" s="20"/>
      <c r="C21" s="20"/>
      <c r="D21" s="20"/>
      <c r="E21" s="21">
        <v>231382</v>
      </c>
      <c r="F21" s="22">
        <v>1</v>
      </c>
      <c r="G21" s="22">
        <v>1</v>
      </c>
      <c r="H21" s="23" t="s">
        <v>86</v>
      </c>
      <c r="I21" s="20" t="s">
        <v>87</v>
      </c>
      <c r="J21" s="20"/>
    </row>
    <row r="22" spans="1:10" ht="13.5" customHeight="1" x14ac:dyDescent="0.2">
      <c r="A22" s="20" t="s">
        <v>85</v>
      </c>
      <c r="B22" s="20"/>
      <c r="C22" s="20"/>
      <c r="D22" s="20"/>
      <c r="E22" s="21">
        <v>231382</v>
      </c>
      <c r="F22" s="22">
        <v>2</v>
      </c>
      <c r="G22" s="22">
        <v>1</v>
      </c>
      <c r="H22" s="23" t="s">
        <v>88</v>
      </c>
      <c r="I22" s="20" t="s">
        <v>87</v>
      </c>
      <c r="J22" s="20"/>
    </row>
    <row r="23" spans="1:10" ht="13.5" customHeight="1" x14ac:dyDescent="0.2">
      <c r="A23" s="20" t="s">
        <v>85</v>
      </c>
      <c r="B23" s="20"/>
      <c r="C23" s="20"/>
      <c r="D23" s="20"/>
      <c r="E23" s="21">
        <v>231382</v>
      </c>
      <c r="F23" s="22">
        <v>3</v>
      </c>
      <c r="G23" s="22">
        <v>1</v>
      </c>
      <c r="H23" s="23" t="s">
        <v>89</v>
      </c>
      <c r="I23" s="20" t="s">
        <v>87</v>
      </c>
      <c r="J23" s="20"/>
    </row>
    <row r="24" spans="1:10" ht="13.5" customHeight="1" x14ac:dyDescent="0.2">
      <c r="A24" s="20" t="s">
        <v>71</v>
      </c>
      <c r="B24" s="20"/>
      <c r="C24" s="20"/>
      <c r="D24" s="20"/>
      <c r="E24" s="21">
        <v>231397</v>
      </c>
      <c r="F24" s="22">
        <v>1</v>
      </c>
      <c r="G24" s="22">
        <v>1</v>
      </c>
      <c r="H24" s="23" t="s">
        <v>72</v>
      </c>
      <c r="I24" s="20" t="s">
        <v>73</v>
      </c>
      <c r="J24" s="20"/>
    </row>
    <row r="25" spans="1:10" ht="13.5" customHeight="1" x14ac:dyDescent="0.2">
      <c r="A25" s="20" t="s">
        <v>71</v>
      </c>
      <c r="B25" s="20"/>
      <c r="C25" s="20"/>
      <c r="D25" s="20"/>
      <c r="E25" s="21">
        <v>231397</v>
      </c>
      <c r="F25" s="22">
        <v>2</v>
      </c>
      <c r="G25" s="22">
        <v>1</v>
      </c>
      <c r="H25" s="23" t="s">
        <v>74</v>
      </c>
      <c r="I25" s="20" t="s">
        <v>73</v>
      </c>
      <c r="J25" s="20"/>
    </row>
    <row r="26" spans="1:10" ht="13.5" customHeight="1" x14ac:dyDescent="0.2">
      <c r="A26" s="20" t="s">
        <v>75</v>
      </c>
      <c r="B26" s="20"/>
      <c r="C26" s="20"/>
      <c r="D26" s="20"/>
      <c r="E26" s="21">
        <v>231398</v>
      </c>
      <c r="F26" s="22">
        <v>1</v>
      </c>
      <c r="G26" s="22">
        <v>2</v>
      </c>
      <c r="H26" s="23" t="s">
        <v>72</v>
      </c>
      <c r="I26" s="20" t="s">
        <v>73</v>
      </c>
      <c r="J26" s="20"/>
    </row>
    <row r="27" spans="1:10" ht="13.5" customHeight="1" x14ac:dyDescent="0.2">
      <c r="A27" s="20" t="s">
        <v>75</v>
      </c>
      <c r="B27" s="20"/>
      <c r="C27" s="20"/>
      <c r="D27" s="20"/>
      <c r="E27" s="21">
        <v>231398</v>
      </c>
      <c r="F27" s="22">
        <v>2</v>
      </c>
      <c r="G27" s="22">
        <v>1</v>
      </c>
      <c r="H27" s="23" t="s">
        <v>74</v>
      </c>
      <c r="I27" s="20" t="s">
        <v>73</v>
      </c>
      <c r="J27" s="20"/>
    </row>
    <row r="28" spans="1:10" ht="13.5" customHeight="1" x14ac:dyDescent="0.2">
      <c r="A28" s="20" t="s">
        <v>76</v>
      </c>
      <c r="B28" s="20"/>
      <c r="C28" s="20"/>
      <c r="D28" s="20"/>
      <c r="E28" s="21">
        <v>231399</v>
      </c>
      <c r="F28" s="22">
        <v>1</v>
      </c>
      <c r="G28" s="22">
        <v>1</v>
      </c>
      <c r="H28" s="23" t="s">
        <v>51</v>
      </c>
      <c r="I28" s="20" t="s">
        <v>52</v>
      </c>
      <c r="J28" s="20"/>
    </row>
    <row r="29" spans="1:10" ht="13.5" customHeight="1" x14ac:dyDescent="0.2">
      <c r="A29" s="20" t="s">
        <v>76</v>
      </c>
      <c r="B29" s="20"/>
      <c r="C29" s="20"/>
      <c r="D29" s="20"/>
      <c r="E29" s="21">
        <v>231399</v>
      </c>
      <c r="F29" s="22">
        <v>2</v>
      </c>
      <c r="G29" s="22">
        <v>1</v>
      </c>
      <c r="H29" s="23" t="s">
        <v>77</v>
      </c>
      <c r="I29" s="20" t="s">
        <v>52</v>
      </c>
      <c r="J29" s="20"/>
    </row>
    <row r="30" spans="1:10" ht="13.5" customHeight="1" x14ac:dyDescent="0.2">
      <c r="A30" s="20" t="s">
        <v>76</v>
      </c>
      <c r="B30" s="20"/>
      <c r="C30" s="20"/>
      <c r="D30" s="20"/>
      <c r="E30" s="21">
        <v>231399</v>
      </c>
      <c r="F30" s="22">
        <v>3</v>
      </c>
      <c r="G30" s="22">
        <v>1</v>
      </c>
      <c r="H30" s="23" t="s">
        <v>78</v>
      </c>
      <c r="I30" s="20" t="s">
        <v>52</v>
      </c>
      <c r="J30" s="20"/>
    </row>
    <row r="31" spans="1:10" ht="13.5" customHeight="1" x14ac:dyDescent="0.2">
      <c r="A31" s="20" t="s">
        <v>76</v>
      </c>
      <c r="B31" s="20"/>
      <c r="C31" s="20"/>
      <c r="D31" s="20"/>
      <c r="E31" s="21">
        <v>231399</v>
      </c>
      <c r="F31" s="22">
        <v>4</v>
      </c>
      <c r="G31" s="22">
        <v>1</v>
      </c>
      <c r="H31" s="23" t="s">
        <v>79</v>
      </c>
      <c r="I31" s="20" t="s">
        <v>52</v>
      </c>
      <c r="J31" s="20"/>
    </row>
    <row r="32" spans="1:10" ht="13.5" customHeight="1" x14ac:dyDescent="0.2">
      <c r="A32" s="20" t="s">
        <v>76</v>
      </c>
      <c r="B32" s="20"/>
      <c r="C32" s="20"/>
      <c r="D32" s="20"/>
      <c r="E32" s="21">
        <v>231399</v>
      </c>
      <c r="F32" s="22">
        <v>5</v>
      </c>
      <c r="G32" s="22">
        <v>1</v>
      </c>
      <c r="H32" s="23" t="s">
        <v>50</v>
      </c>
      <c r="I32" s="20" t="s">
        <v>52</v>
      </c>
      <c r="J32" s="20"/>
    </row>
    <row r="33" spans="1:10" ht="13.5" customHeight="1" x14ac:dyDescent="0.2">
      <c r="A33" s="20" t="s">
        <v>80</v>
      </c>
      <c r="B33" s="20"/>
      <c r="C33" s="20"/>
      <c r="D33" s="20"/>
      <c r="E33" s="21">
        <v>231400</v>
      </c>
      <c r="F33" s="22">
        <v>1</v>
      </c>
      <c r="G33" s="22">
        <v>1</v>
      </c>
      <c r="H33" s="23" t="s">
        <v>48</v>
      </c>
      <c r="I33" s="20" t="s">
        <v>81</v>
      </c>
      <c r="J33" s="20"/>
    </row>
    <row r="34" spans="1:10" ht="13.5" customHeight="1" x14ac:dyDescent="0.2">
      <c r="A34" s="20" t="s">
        <v>80</v>
      </c>
      <c r="B34" s="20"/>
      <c r="C34" s="20"/>
      <c r="D34" s="20"/>
      <c r="E34" s="21">
        <v>231400</v>
      </c>
      <c r="F34" s="22">
        <v>2</v>
      </c>
      <c r="G34" s="22">
        <v>1</v>
      </c>
      <c r="H34" s="23" t="s">
        <v>82</v>
      </c>
      <c r="I34" s="20" t="s">
        <v>81</v>
      </c>
      <c r="J34" s="20"/>
    </row>
    <row r="35" spans="1:10" ht="13.5" customHeight="1" x14ac:dyDescent="0.2">
      <c r="A35" s="20" t="s">
        <v>80</v>
      </c>
      <c r="B35" s="20"/>
      <c r="C35" s="20"/>
      <c r="D35" s="20"/>
      <c r="E35" s="21">
        <v>231400</v>
      </c>
      <c r="F35" s="22">
        <v>3</v>
      </c>
      <c r="G35" s="22">
        <v>1</v>
      </c>
      <c r="H35" s="23" t="s">
        <v>83</v>
      </c>
      <c r="I35" s="20" t="s">
        <v>81</v>
      </c>
      <c r="J35" s="20"/>
    </row>
    <row r="36" spans="1:10" ht="13.5" customHeight="1" x14ac:dyDescent="0.2">
      <c r="A36" s="20" t="s">
        <v>80</v>
      </c>
      <c r="B36" s="20"/>
      <c r="C36" s="20"/>
      <c r="D36" s="20"/>
      <c r="E36" s="21">
        <v>231400</v>
      </c>
      <c r="F36" s="22">
        <v>4</v>
      </c>
      <c r="G36" s="22">
        <v>2</v>
      </c>
      <c r="H36" s="23" t="s">
        <v>84</v>
      </c>
      <c r="I36" s="20" t="s">
        <v>81</v>
      </c>
      <c r="J36" s="20"/>
    </row>
    <row r="37" spans="1:10" ht="13.5" customHeight="1" x14ac:dyDescent="0.2">
      <c r="A37" s="20" t="s">
        <v>85</v>
      </c>
      <c r="B37" s="20"/>
      <c r="C37" s="20"/>
      <c r="D37" s="20"/>
      <c r="E37" s="21">
        <v>231401</v>
      </c>
      <c r="F37" s="22">
        <v>1</v>
      </c>
      <c r="G37" s="22">
        <v>1</v>
      </c>
      <c r="H37" s="23" t="s">
        <v>86</v>
      </c>
      <c r="I37" s="20" t="s">
        <v>87</v>
      </c>
      <c r="J37" s="20"/>
    </row>
    <row r="38" spans="1:10" ht="13.5" customHeight="1" x14ac:dyDescent="0.2">
      <c r="A38" s="20" t="s">
        <v>85</v>
      </c>
      <c r="B38" s="20"/>
      <c r="C38" s="20"/>
      <c r="D38" s="20"/>
      <c r="E38" s="21">
        <v>231401</v>
      </c>
      <c r="F38" s="22">
        <v>2</v>
      </c>
      <c r="G38" s="22">
        <v>1</v>
      </c>
      <c r="H38" s="23" t="s">
        <v>88</v>
      </c>
      <c r="I38" s="20" t="s">
        <v>87</v>
      </c>
      <c r="J38" s="20"/>
    </row>
    <row r="39" spans="1:10" ht="13.5" customHeight="1" x14ac:dyDescent="0.2">
      <c r="A39" s="20" t="s">
        <v>85</v>
      </c>
      <c r="B39" s="20"/>
      <c r="C39" s="20"/>
      <c r="D39" s="20"/>
      <c r="E39" s="21">
        <v>231401</v>
      </c>
      <c r="F39" s="22">
        <v>3</v>
      </c>
      <c r="G39" s="22">
        <v>1</v>
      </c>
      <c r="H39" s="23" t="s">
        <v>89</v>
      </c>
      <c r="I39" s="20" t="s">
        <v>87</v>
      </c>
      <c r="J39" s="20"/>
    </row>
    <row r="40" spans="1:10" ht="13.5" customHeight="1" x14ac:dyDescent="0.2">
      <c r="A40" s="20" t="s">
        <v>90</v>
      </c>
      <c r="B40" s="20"/>
      <c r="C40" s="20"/>
      <c r="D40" s="20"/>
      <c r="E40" s="21">
        <v>231491</v>
      </c>
      <c r="F40" s="22">
        <v>1</v>
      </c>
      <c r="G40" s="22">
        <v>1</v>
      </c>
      <c r="H40" s="23" t="s">
        <v>91</v>
      </c>
      <c r="I40" s="20" t="s">
        <v>65</v>
      </c>
      <c r="J40" s="20"/>
    </row>
    <row r="41" spans="1:10" ht="13.5" customHeight="1" x14ac:dyDescent="0.2">
      <c r="A41" s="20" t="s">
        <v>90</v>
      </c>
      <c r="B41" s="20"/>
      <c r="C41" s="20"/>
      <c r="D41" s="20"/>
      <c r="E41" s="21">
        <v>231491</v>
      </c>
      <c r="F41" s="22">
        <v>2</v>
      </c>
      <c r="G41" s="22">
        <v>1</v>
      </c>
      <c r="H41" s="23" t="s">
        <v>92</v>
      </c>
      <c r="I41" s="20" t="s">
        <v>65</v>
      </c>
      <c r="J41" s="20"/>
    </row>
    <row r="42" spans="1:10" ht="13.5" customHeight="1" x14ac:dyDescent="0.2">
      <c r="A42" s="20" t="s">
        <v>93</v>
      </c>
      <c r="B42" s="20"/>
      <c r="C42" s="20"/>
      <c r="D42" s="20"/>
      <c r="E42" s="21">
        <v>231492</v>
      </c>
      <c r="F42" s="22">
        <v>1</v>
      </c>
      <c r="G42" s="22">
        <v>1</v>
      </c>
      <c r="H42" s="23" t="s">
        <v>94</v>
      </c>
      <c r="I42" s="20" t="s">
        <v>65</v>
      </c>
      <c r="J42" s="20"/>
    </row>
    <row r="43" spans="1:10" ht="13.5" customHeight="1" x14ac:dyDescent="0.2">
      <c r="A43" s="20" t="s">
        <v>93</v>
      </c>
      <c r="B43" s="20"/>
      <c r="C43" s="20"/>
      <c r="D43" s="20"/>
      <c r="E43" s="21">
        <v>231492</v>
      </c>
      <c r="F43" s="22">
        <v>2</v>
      </c>
      <c r="G43" s="22">
        <v>1</v>
      </c>
      <c r="H43" s="23" t="s">
        <v>95</v>
      </c>
      <c r="I43" s="20" t="s">
        <v>65</v>
      </c>
      <c r="J43" s="20"/>
    </row>
    <row r="44" spans="1:10" ht="13.5" customHeight="1" x14ac:dyDescent="0.2">
      <c r="A44" s="20" t="s">
        <v>96</v>
      </c>
      <c r="B44" s="20"/>
      <c r="C44" s="20"/>
      <c r="D44" s="20"/>
      <c r="E44" s="21">
        <v>231493</v>
      </c>
      <c r="F44" s="22">
        <v>1</v>
      </c>
      <c r="G44" s="22">
        <v>1</v>
      </c>
      <c r="H44" s="23" t="s">
        <v>97</v>
      </c>
      <c r="I44" s="20" t="s">
        <v>65</v>
      </c>
      <c r="J44" s="20"/>
    </row>
    <row r="45" spans="1:10" ht="13.5" customHeight="1" x14ac:dyDescent="0.2">
      <c r="A45" s="20" t="s">
        <v>96</v>
      </c>
      <c r="B45" s="20"/>
      <c r="C45" s="20"/>
      <c r="D45" s="20"/>
      <c r="E45" s="21">
        <v>231493</v>
      </c>
      <c r="F45" s="22">
        <v>2</v>
      </c>
      <c r="G45" s="22">
        <v>1</v>
      </c>
      <c r="H45" s="23" t="s">
        <v>98</v>
      </c>
      <c r="I45" s="20" t="s">
        <v>65</v>
      </c>
      <c r="J45" s="20"/>
    </row>
    <row r="46" spans="1:10" ht="13.5" customHeight="1" x14ac:dyDescent="0.2">
      <c r="A46" s="20" t="s">
        <v>96</v>
      </c>
      <c r="B46" s="20"/>
      <c r="C46" s="20"/>
      <c r="D46" s="20"/>
      <c r="E46" s="21">
        <v>231493</v>
      </c>
      <c r="F46" s="22">
        <v>3</v>
      </c>
      <c r="G46" s="22">
        <v>1</v>
      </c>
      <c r="H46" s="23" t="s">
        <v>99</v>
      </c>
      <c r="I46" s="20" t="s">
        <v>65</v>
      </c>
      <c r="J46" s="20"/>
    </row>
    <row r="47" spans="1:10" ht="13.5" customHeight="1" x14ac:dyDescent="0.2">
      <c r="A47" s="20" t="s">
        <v>96</v>
      </c>
      <c r="B47" s="20"/>
      <c r="C47" s="20"/>
      <c r="D47" s="20"/>
      <c r="E47" s="21">
        <v>231493</v>
      </c>
      <c r="F47" s="22">
        <v>4</v>
      </c>
      <c r="G47" s="22">
        <v>1</v>
      </c>
      <c r="H47" s="23" t="s">
        <v>100</v>
      </c>
      <c r="I47" s="20" t="s">
        <v>65</v>
      </c>
      <c r="J47" s="20"/>
    </row>
    <row r="48" spans="1:10" ht="13.5" customHeight="1" x14ac:dyDescent="0.2">
      <c r="A48" s="20" t="s">
        <v>96</v>
      </c>
      <c r="B48" s="20"/>
      <c r="C48" s="20"/>
      <c r="D48" s="20"/>
      <c r="E48" s="21">
        <v>231493</v>
      </c>
      <c r="F48" s="22">
        <v>5</v>
      </c>
      <c r="G48" s="22">
        <v>1</v>
      </c>
      <c r="H48" s="23" t="s">
        <v>101</v>
      </c>
      <c r="I48" s="20" t="s">
        <v>65</v>
      </c>
      <c r="J48" s="20"/>
    </row>
    <row r="49" spans="1:10" ht="13.5" customHeight="1" x14ac:dyDescent="0.2">
      <c r="A49" s="20" t="s">
        <v>96</v>
      </c>
      <c r="B49" s="20"/>
      <c r="C49" s="20"/>
      <c r="D49" s="20"/>
      <c r="E49" s="21">
        <v>231493</v>
      </c>
      <c r="F49" s="22">
        <v>6</v>
      </c>
      <c r="G49" s="22">
        <v>1</v>
      </c>
      <c r="H49" s="23" t="s">
        <v>102</v>
      </c>
      <c r="I49" s="20" t="s">
        <v>65</v>
      </c>
      <c r="J49" s="20"/>
    </row>
    <row r="50" spans="1:10" ht="13.5" customHeight="1" x14ac:dyDescent="0.2">
      <c r="A50" s="20" t="s">
        <v>103</v>
      </c>
      <c r="B50" s="20"/>
      <c r="C50" s="20"/>
      <c r="D50" s="20"/>
      <c r="E50" s="21">
        <v>231494</v>
      </c>
      <c r="F50" s="22">
        <v>1</v>
      </c>
      <c r="G50" s="22">
        <v>1</v>
      </c>
      <c r="H50" s="23" t="s">
        <v>104</v>
      </c>
      <c r="I50" s="20" t="s">
        <v>65</v>
      </c>
      <c r="J50" s="20"/>
    </row>
    <row r="51" spans="1:10" ht="13.5" customHeight="1" x14ac:dyDescent="0.2">
      <c r="A51" s="20" t="s">
        <v>103</v>
      </c>
      <c r="B51" s="20"/>
      <c r="C51" s="20"/>
      <c r="D51" s="20"/>
      <c r="E51" s="21">
        <v>231494</v>
      </c>
      <c r="F51" s="22">
        <v>2</v>
      </c>
      <c r="G51" s="22">
        <v>1</v>
      </c>
      <c r="H51" s="23" t="s">
        <v>105</v>
      </c>
      <c r="I51" s="20" t="s">
        <v>65</v>
      </c>
      <c r="J51" s="20"/>
    </row>
    <row r="52" spans="1:10" ht="13.5" customHeight="1" x14ac:dyDescent="0.2">
      <c r="A52" s="20" t="s">
        <v>103</v>
      </c>
      <c r="B52" s="20"/>
      <c r="C52" s="20"/>
      <c r="D52" s="20"/>
      <c r="E52" s="21">
        <v>231494</v>
      </c>
      <c r="F52" s="22">
        <v>3</v>
      </c>
      <c r="G52" s="22">
        <v>1</v>
      </c>
      <c r="H52" s="23" t="s">
        <v>106</v>
      </c>
      <c r="I52" s="20" t="s">
        <v>65</v>
      </c>
      <c r="J52" s="20"/>
    </row>
    <row r="53" spans="1:10" ht="13.5" customHeight="1" x14ac:dyDescent="0.2">
      <c r="A53" s="20" t="s">
        <v>103</v>
      </c>
      <c r="B53" s="20"/>
      <c r="C53" s="20"/>
      <c r="D53" s="20"/>
      <c r="E53" s="21">
        <v>231494</v>
      </c>
      <c r="F53" s="22">
        <v>4</v>
      </c>
      <c r="G53" s="22">
        <v>1</v>
      </c>
      <c r="H53" s="23" t="s">
        <v>107</v>
      </c>
      <c r="I53" s="20" t="s">
        <v>65</v>
      </c>
      <c r="J53" s="20"/>
    </row>
    <row r="54" spans="1:10" ht="13.5" customHeight="1" x14ac:dyDescent="0.2">
      <c r="A54" s="20" t="s">
        <v>103</v>
      </c>
      <c r="B54" s="20"/>
      <c r="C54" s="20"/>
      <c r="D54" s="20"/>
      <c r="E54" s="21">
        <v>231494</v>
      </c>
      <c r="F54" s="22">
        <v>5</v>
      </c>
      <c r="G54" s="22">
        <v>1</v>
      </c>
      <c r="H54" s="23" t="s">
        <v>107</v>
      </c>
      <c r="I54" s="20" t="s">
        <v>65</v>
      </c>
      <c r="J54" s="20"/>
    </row>
    <row r="55" spans="1:10" ht="13.5" customHeight="1" x14ac:dyDescent="0.2">
      <c r="A55" s="20" t="s">
        <v>108</v>
      </c>
      <c r="B55" s="20"/>
      <c r="C55" s="20"/>
      <c r="D55" s="20"/>
      <c r="E55" s="21">
        <v>231495</v>
      </c>
      <c r="F55" s="22">
        <v>1</v>
      </c>
      <c r="G55" s="22">
        <v>1</v>
      </c>
      <c r="H55" s="23" t="s">
        <v>94</v>
      </c>
      <c r="I55" s="20" t="s">
        <v>65</v>
      </c>
      <c r="J55" s="20"/>
    </row>
    <row r="56" spans="1:10" ht="13.5" customHeight="1" x14ac:dyDescent="0.2">
      <c r="A56" s="20" t="s">
        <v>108</v>
      </c>
      <c r="B56" s="20"/>
      <c r="C56" s="20"/>
      <c r="D56" s="20"/>
      <c r="E56" s="21">
        <v>231495</v>
      </c>
      <c r="F56" s="22">
        <v>2</v>
      </c>
      <c r="G56" s="22">
        <v>1</v>
      </c>
      <c r="H56" s="23" t="s">
        <v>109</v>
      </c>
      <c r="I56" s="20" t="s">
        <v>65</v>
      </c>
      <c r="J56" s="20"/>
    </row>
    <row r="57" spans="1:10" ht="13.5" customHeight="1" x14ac:dyDescent="0.2">
      <c r="A57" s="20" t="s">
        <v>110</v>
      </c>
      <c r="B57" s="20"/>
      <c r="C57" s="20"/>
      <c r="D57" s="20"/>
      <c r="E57" s="21">
        <v>231496</v>
      </c>
      <c r="F57" s="22">
        <v>1</v>
      </c>
      <c r="G57" s="22">
        <v>1</v>
      </c>
      <c r="H57" s="23" t="s">
        <v>23</v>
      </c>
      <c r="I57" s="20" t="s">
        <v>24</v>
      </c>
      <c r="J57" s="20"/>
    </row>
    <row r="58" spans="1:10" ht="13.5" customHeight="1" x14ac:dyDescent="0.2">
      <c r="A58" s="20" t="s">
        <v>110</v>
      </c>
      <c r="B58" s="20"/>
      <c r="C58" s="20"/>
      <c r="D58" s="20"/>
      <c r="E58" s="21">
        <v>231496</v>
      </c>
      <c r="F58" s="22">
        <v>2</v>
      </c>
      <c r="G58" s="22">
        <v>2</v>
      </c>
      <c r="H58" s="23" t="s">
        <v>25</v>
      </c>
      <c r="I58" s="20" t="s">
        <v>24</v>
      </c>
      <c r="J58" s="20"/>
    </row>
    <row r="59" spans="1:10" ht="13.5" customHeight="1" x14ac:dyDescent="0.2">
      <c r="A59" s="20" t="s">
        <v>111</v>
      </c>
      <c r="B59" s="20"/>
      <c r="C59" s="20"/>
      <c r="D59" s="20"/>
      <c r="E59" s="21">
        <v>231497</v>
      </c>
      <c r="F59" s="22">
        <v>1</v>
      </c>
      <c r="G59" s="22">
        <v>5</v>
      </c>
      <c r="H59" s="23" t="s">
        <v>25</v>
      </c>
      <c r="I59" s="20" t="s">
        <v>24</v>
      </c>
      <c r="J59" s="20"/>
    </row>
    <row r="60" spans="1:10" ht="13.5" customHeight="1" x14ac:dyDescent="0.2">
      <c r="A60" s="20" t="s">
        <v>112</v>
      </c>
      <c r="B60" s="20"/>
      <c r="C60" s="20"/>
      <c r="D60" s="20"/>
      <c r="E60" s="21">
        <v>231498</v>
      </c>
      <c r="F60" s="22">
        <v>1</v>
      </c>
      <c r="G60" s="22">
        <v>1</v>
      </c>
      <c r="H60" s="23" t="s">
        <v>23</v>
      </c>
      <c r="I60" s="20" t="s">
        <v>24</v>
      </c>
      <c r="J60" s="20"/>
    </row>
    <row r="61" spans="1:10" ht="13.5" customHeight="1" x14ac:dyDescent="0.2">
      <c r="A61" s="20" t="s">
        <v>112</v>
      </c>
      <c r="B61" s="20"/>
      <c r="C61" s="20"/>
      <c r="D61" s="20"/>
      <c r="E61" s="21">
        <v>231498</v>
      </c>
      <c r="F61" s="22">
        <v>2</v>
      </c>
      <c r="G61" s="22">
        <v>2</v>
      </c>
      <c r="H61" s="23" t="s">
        <v>25</v>
      </c>
      <c r="I61" s="20" t="s">
        <v>24</v>
      </c>
      <c r="J61" s="20"/>
    </row>
    <row r="62" spans="1:10" ht="13.5" customHeight="1" x14ac:dyDescent="0.2">
      <c r="A62" s="20" t="s">
        <v>113</v>
      </c>
      <c r="B62" s="20"/>
      <c r="C62" s="20"/>
      <c r="D62" s="20"/>
      <c r="E62" s="21">
        <v>231499</v>
      </c>
      <c r="F62" s="22">
        <v>1</v>
      </c>
      <c r="G62" s="22">
        <v>2</v>
      </c>
      <c r="H62" s="23" t="s">
        <v>25</v>
      </c>
      <c r="I62" s="20" t="s">
        <v>24</v>
      </c>
      <c r="J62" s="20"/>
    </row>
    <row r="63" spans="1:10" ht="13.5" customHeight="1" x14ac:dyDescent="0.2">
      <c r="A63" s="20" t="s">
        <v>113</v>
      </c>
      <c r="B63" s="20"/>
      <c r="C63" s="20"/>
      <c r="D63" s="20"/>
      <c r="E63" s="21">
        <v>231499</v>
      </c>
      <c r="F63" s="22">
        <v>2</v>
      </c>
      <c r="G63" s="22">
        <v>1</v>
      </c>
      <c r="H63" s="23" t="s">
        <v>23</v>
      </c>
      <c r="I63" s="20" t="s">
        <v>24</v>
      </c>
      <c r="J63" s="20"/>
    </row>
    <row r="64" spans="1:10" ht="13.5" customHeight="1" x14ac:dyDescent="0.2">
      <c r="A64" s="20" t="s">
        <v>114</v>
      </c>
      <c r="B64" s="20"/>
      <c r="C64" s="20"/>
      <c r="D64" s="20"/>
      <c r="E64" s="21">
        <v>231500</v>
      </c>
      <c r="F64" s="22">
        <v>1</v>
      </c>
      <c r="G64" s="22">
        <v>4</v>
      </c>
      <c r="H64" s="23" t="s">
        <v>25</v>
      </c>
      <c r="I64" s="20" t="s">
        <v>24</v>
      </c>
      <c r="J64" s="20"/>
    </row>
    <row r="65" spans="1:10" ht="13.5" customHeight="1" x14ac:dyDescent="0.2">
      <c r="A65" s="20" t="s">
        <v>115</v>
      </c>
      <c r="B65" s="20"/>
      <c r="C65" s="20"/>
      <c r="D65" s="20"/>
      <c r="E65" s="21">
        <v>231501</v>
      </c>
      <c r="F65" s="22">
        <v>1</v>
      </c>
      <c r="G65" s="22">
        <v>4</v>
      </c>
      <c r="H65" s="23" t="s">
        <v>25</v>
      </c>
      <c r="I65" s="20" t="s">
        <v>24</v>
      </c>
      <c r="J65" s="20"/>
    </row>
    <row r="66" spans="1:10" ht="13.5" customHeight="1" x14ac:dyDescent="0.2">
      <c r="A66" s="20" t="s">
        <v>116</v>
      </c>
      <c r="B66" s="20"/>
      <c r="C66" s="20"/>
      <c r="D66" s="20"/>
      <c r="E66" s="21">
        <v>231502</v>
      </c>
      <c r="F66" s="22">
        <v>1</v>
      </c>
      <c r="G66" s="22">
        <v>4</v>
      </c>
      <c r="H66" s="23" t="s">
        <v>25</v>
      </c>
      <c r="I66" s="20" t="s">
        <v>24</v>
      </c>
      <c r="J66" s="20"/>
    </row>
    <row r="67" spans="1:10" ht="13.5" customHeight="1" x14ac:dyDescent="0.2">
      <c r="A67" s="20" t="s">
        <v>116</v>
      </c>
      <c r="B67" s="20"/>
      <c r="C67" s="20"/>
      <c r="D67" s="20"/>
      <c r="E67" s="21">
        <v>231502</v>
      </c>
      <c r="F67" s="22">
        <v>2</v>
      </c>
      <c r="G67" s="22">
        <v>1</v>
      </c>
      <c r="H67" s="23" t="s">
        <v>23</v>
      </c>
      <c r="I67" s="20" t="s">
        <v>24</v>
      </c>
      <c r="J67" s="20"/>
    </row>
    <row r="68" spans="1:10" ht="13.5" customHeight="1" x14ac:dyDescent="0.2">
      <c r="A68" s="20" t="s">
        <v>117</v>
      </c>
      <c r="B68" s="20"/>
      <c r="C68" s="20"/>
      <c r="D68" s="20"/>
      <c r="E68" s="21">
        <v>231504</v>
      </c>
      <c r="F68" s="22">
        <v>1</v>
      </c>
      <c r="G68" s="22">
        <v>1</v>
      </c>
      <c r="H68" s="23" t="s">
        <v>47</v>
      </c>
      <c r="I68" s="20" t="s">
        <v>39</v>
      </c>
      <c r="J68" s="20"/>
    </row>
    <row r="69" spans="1:10" ht="13.5" customHeight="1" x14ac:dyDescent="0.2">
      <c r="A69" s="20" t="s">
        <v>117</v>
      </c>
      <c r="B69" s="20"/>
      <c r="C69" s="20"/>
      <c r="D69" s="20"/>
      <c r="E69" s="21">
        <v>231504</v>
      </c>
      <c r="F69" s="22">
        <v>2</v>
      </c>
      <c r="G69" s="22">
        <v>1</v>
      </c>
      <c r="H69" s="23" t="s">
        <v>46</v>
      </c>
      <c r="I69" s="20" t="s">
        <v>39</v>
      </c>
      <c r="J69" s="20"/>
    </row>
    <row r="70" spans="1:10" ht="13.5" customHeight="1" x14ac:dyDescent="0.2">
      <c r="A70" s="20" t="s">
        <v>118</v>
      </c>
      <c r="B70" s="20"/>
      <c r="C70" s="20"/>
      <c r="D70" s="20"/>
      <c r="E70" s="21">
        <v>231505</v>
      </c>
      <c r="F70" s="22">
        <v>1</v>
      </c>
      <c r="G70" s="22">
        <v>1</v>
      </c>
      <c r="H70" s="23" t="s">
        <v>50</v>
      </c>
      <c r="I70" s="20" t="s">
        <v>26</v>
      </c>
      <c r="J70" s="20"/>
    </row>
    <row r="71" spans="1:10" ht="13.5" customHeight="1" x14ac:dyDescent="0.2">
      <c r="A71" s="20" t="s">
        <v>118</v>
      </c>
      <c r="B71" s="20"/>
      <c r="C71" s="20"/>
      <c r="D71" s="20"/>
      <c r="E71" s="21">
        <v>231505</v>
      </c>
      <c r="F71" s="22">
        <v>2</v>
      </c>
      <c r="G71" s="22">
        <v>1</v>
      </c>
      <c r="H71" s="23" t="s">
        <v>119</v>
      </c>
      <c r="I71" s="20" t="s">
        <v>26</v>
      </c>
      <c r="J71" s="20"/>
    </row>
    <row r="72" spans="1:10" ht="13.5" customHeight="1" x14ac:dyDescent="0.2">
      <c r="A72" s="20" t="s">
        <v>118</v>
      </c>
      <c r="B72" s="20"/>
      <c r="C72" s="20"/>
      <c r="D72" s="20"/>
      <c r="E72" s="21">
        <v>231505</v>
      </c>
      <c r="F72" s="22">
        <v>3</v>
      </c>
      <c r="G72" s="22">
        <v>1</v>
      </c>
      <c r="H72" s="23" t="s">
        <v>120</v>
      </c>
      <c r="I72" s="20" t="s">
        <v>26</v>
      </c>
      <c r="J72" s="20"/>
    </row>
    <row r="73" spans="1:10" ht="13.5" customHeight="1" x14ac:dyDescent="0.2">
      <c r="A73" s="20" t="s">
        <v>121</v>
      </c>
      <c r="B73" s="20"/>
      <c r="C73" s="20"/>
      <c r="D73" s="20"/>
      <c r="E73" s="21">
        <v>231507</v>
      </c>
      <c r="F73" s="22">
        <v>1</v>
      </c>
      <c r="G73" s="22">
        <v>2</v>
      </c>
      <c r="H73" s="23" t="s">
        <v>23</v>
      </c>
      <c r="I73" s="20" t="s">
        <v>24</v>
      </c>
      <c r="J73" s="20"/>
    </row>
    <row r="74" spans="1:10" ht="13.5" customHeight="1" x14ac:dyDescent="0.2">
      <c r="A74" s="20" t="s">
        <v>121</v>
      </c>
      <c r="B74" s="20"/>
      <c r="C74" s="20"/>
      <c r="D74" s="20"/>
      <c r="E74" s="21">
        <v>231507</v>
      </c>
      <c r="F74" s="22">
        <v>2</v>
      </c>
      <c r="G74" s="22">
        <v>2</v>
      </c>
      <c r="H74" s="23" t="s">
        <v>25</v>
      </c>
      <c r="I74" s="20" t="s">
        <v>24</v>
      </c>
      <c r="J74" s="20"/>
    </row>
    <row r="75" spans="1:10" ht="13.5" customHeight="1" x14ac:dyDescent="0.2">
      <c r="A75" s="20" t="s">
        <v>122</v>
      </c>
      <c r="B75" s="20"/>
      <c r="C75" s="20"/>
      <c r="D75" s="20"/>
      <c r="E75" s="21">
        <v>231508</v>
      </c>
      <c r="F75" s="22">
        <v>1</v>
      </c>
      <c r="G75" s="22">
        <v>2</v>
      </c>
      <c r="H75" s="23" t="s">
        <v>23</v>
      </c>
      <c r="I75" s="20" t="s">
        <v>24</v>
      </c>
      <c r="J75" s="20"/>
    </row>
    <row r="76" spans="1:10" ht="13.5" customHeight="1" x14ac:dyDescent="0.2">
      <c r="A76" s="20" t="s">
        <v>122</v>
      </c>
      <c r="B76" s="20"/>
      <c r="C76" s="20"/>
      <c r="D76" s="20"/>
      <c r="E76" s="21">
        <v>231508</v>
      </c>
      <c r="F76" s="22">
        <v>2</v>
      </c>
      <c r="G76" s="22">
        <v>2</v>
      </c>
      <c r="H76" s="23" t="s">
        <v>25</v>
      </c>
      <c r="I76" s="20" t="s">
        <v>24</v>
      </c>
      <c r="J76" s="20"/>
    </row>
    <row r="77" spans="1:10" ht="13.5" customHeight="1" x14ac:dyDescent="0.2">
      <c r="A77" s="20" t="s">
        <v>123</v>
      </c>
      <c r="B77" s="20"/>
      <c r="C77" s="20"/>
      <c r="D77" s="20"/>
      <c r="E77" s="21">
        <v>231509</v>
      </c>
      <c r="F77" s="22">
        <v>1</v>
      </c>
      <c r="G77" s="22">
        <v>2</v>
      </c>
      <c r="H77" s="23" t="s">
        <v>23</v>
      </c>
      <c r="I77" s="20" t="s">
        <v>24</v>
      </c>
      <c r="J77" s="20"/>
    </row>
    <row r="78" spans="1:10" ht="13.5" customHeight="1" x14ac:dyDescent="0.2">
      <c r="A78" s="20" t="s">
        <v>123</v>
      </c>
      <c r="B78" s="20"/>
      <c r="C78" s="20"/>
      <c r="D78" s="20"/>
      <c r="E78" s="21">
        <v>231509</v>
      </c>
      <c r="F78" s="22">
        <v>2</v>
      </c>
      <c r="G78" s="22">
        <v>2</v>
      </c>
      <c r="H78" s="23" t="s">
        <v>25</v>
      </c>
      <c r="I78" s="20" t="s">
        <v>24</v>
      </c>
      <c r="J78" s="20"/>
    </row>
    <row r="79" spans="1:10" ht="13.5" customHeight="1" x14ac:dyDescent="0.2">
      <c r="A79" s="20" t="s">
        <v>124</v>
      </c>
      <c r="B79" s="20"/>
      <c r="C79" s="20"/>
      <c r="D79" s="20"/>
      <c r="E79" s="21">
        <v>231510</v>
      </c>
      <c r="F79" s="22">
        <v>1</v>
      </c>
      <c r="G79" s="22">
        <v>1</v>
      </c>
      <c r="H79" s="23" t="s">
        <v>125</v>
      </c>
      <c r="I79" s="20" t="s">
        <v>39</v>
      </c>
      <c r="J79" s="20"/>
    </row>
    <row r="80" spans="1:10" ht="13.5" customHeight="1" x14ac:dyDescent="0.2">
      <c r="A80" s="20" t="s">
        <v>124</v>
      </c>
      <c r="B80" s="20"/>
      <c r="C80" s="20"/>
      <c r="D80" s="20"/>
      <c r="E80" s="21">
        <v>231510</v>
      </c>
      <c r="F80" s="22">
        <v>2</v>
      </c>
      <c r="G80" s="22">
        <v>1</v>
      </c>
      <c r="H80" s="23" t="s">
        <v>53</v>
      </c>
      <c r="I80" s="20" t="s">
        <v>39</v>
      </c>
      <c r="J80" s="20"/>
    </row>
    <row r="81" spans="1:10" ht="13.5" customHeight="1" x14ac:dyDescent="0.2">
      <c r="A81" s="20" t="s">
        <v>126</v>
      </c>
      <c r="B81" s="20"/>
      <c r="C81" s="20"/>
      <c r="D81" s="20"/>
      <c r="E81" s="21">
        <v>231511</v>
      </c>
      <c r="F81" s="22">
        <v>1</v>
      </c>
      <c r="G81" s="22">
        <v>1</v>
      </c>
      <c r="H81" s="23" t="s">
        <v>127</v>
      </c>
      <c r="I81" s="20" t="s">
        <v>39</v>
      </c>
      <c r="J81" s="20"/>
    </row>
    <row r="82" spans="1:10" ht="13.5" customHeight="1" x14ac:dyDescent="0.2">
      <c r="A82" s="20" t="s">
        <v>126</v>
      </c>
      <c r="B82" s="20"/>
      <c r="C82" s="20"/>
      <c r="D82" s="20"/>
      <c r="E82" s="21">
        <v>231511</v>
      </c>
      <c r="F82" s="22">
        <v>2</v>
      </c>
      <c r="G82" s="22">
        <v>1</v>
      </c>
      <c r="H82" s="23" t="s">
        <v>53</v>
      </c>
      <c r="I82" s="20" t="s">
        <v>39</v>
      </c>
      <c r="J82" s="20"/>
    </row>
    <row r="83" spans="1:10" ht="13.5" customHeight="1" x14ac:dyDescent="0.2">
      <c r="A83" s="20" t="s">
        <v>128</v>
      </c>
      <c r="B83" s="20"/>
      <c r="C83" s="20"/>
      <c r="D83" s="20"/>
      <c r="E83" s="21">
        <v>231512</v>
      </c>
      <c r="F83" s="22">
        <v>1</v>
      </c>
      <c r="G83" s="22">
        <v>1</v>
      </c>
      <c r="H83" s="23" t="s">
        <v>129</v>
      </c>
      <c r="I83" s="20" t="s">
        <v>39</v>
      </c>
      <c r="J83" s="20"/>
    </row>
    <row r="84" spans="1:10" ht="13.5" customHeight="1" x14ac:dyDescent="0.2">
      <c r="A84" s="20" t="s">
        <v>128</v>
      </c>
      <c r="B84" s="20"/>
      <c r="C84" s="20"/>
      <c r="D84" s="20"/>
      <c r="E84" s="21">
        <v>231512</v>
      </c>
      <c r="F84" s="22">
        <v>2</v>
      </c>
      <c r="G84" s="22">
        <v>1</v>
      </c>
      <c r="H84" s="23" t="s">
        <v>53</v>
      </c>
      <c r="I84" s="20" t="s">
        <v>39</v>
      </c>
      <c r="J84" s="20"/>
    </row>
    <row r="85" spans="1:10" ht="13.5" customHeight="1" x14ac:dyDescent="0.2">
      <c r="A85" s="20" t="s">
        <v>130</v>
      </c>
      <c r="B85" s="20"/>
      <c r="C85" s="20"/>
      <c r="D85" s="20"/>
      <c r="E85" s="21">
        <v>231513</v>
      </c>
      <c r="F85" s="22">
        <v>1</v>
      </c>
      <c r="G85" s="22">
        <v>1</v>
      </c>
      <c r="H85" s="23" t="s">
        <v>131</v>
      </c>
      <c r="I85" s="20" t="s">
        <v>39</v>
      </c>
      <c r="J85" s="20"/>
    </row>
    <row r="86" spans="1:10" ht="13.5" customHeight="1" x14ac:dyDescent="0.2">
      <c r="A86" s="20" t="s">
        <v>130</v>
      </c>
      <c r="B86" s="20"/>
      <c r="C86" s="20"/>
      <c r="D86" s="20"/>
      <c r="E86" s="21">
        <v>231513</v>
      </c>
      <c r="F86" s="22">
        <v>2</v>
      </c>
      <c r="G86" s="22">
        <v>1</v>
      </c>
      <c r="H86" s="23" t="s">
        <v>53</v>
      </c>
      <c r="I86" s="20" t="s">
        <v>39</v>
      </c>
      <c r="J86" s="20"/>
    </row>
    <row r="87" spans="1:10" ht="13.5" customHeight="1" x14ac:dyDescent="0.2">
      <c r="A87" s="20" t="s">
        <v>132</v>
      </c>
      <c r="B87" s="20"/>
      <c r="C87" s="20"/>
      <c r="D87" s="20"/>
      <c r="E87" s="21">
        <v>231514</v>
      </c>
      <c r="F87" s="22">
        <v>1</v>
      </c>
      <c r="G87" s="22">
        <v>1</v>
      </c>
      <c r="H87" s="23" t="s">
        <v>47</v>
      </c>
      <c r="I87" s="20" t="s">
        <v>39</v>
      </c>
      <c r="J87" s="20"/>
    </row>
    <row r="88" spans="1:10" ht="13.5" customHeight="1" x14ac:dyDescent="0.2">
      <c r="A88" s="20" t="s">
        <v>132</v>
      </c>
      <c r="B88" s="20"/>
      <c r="C88" s="20"/>
      <c r="D88" s="20"/>
      <c r="E88" s="21">
        <v>231514</v>
      </c>
      <c r="F88" s="22">
        <v>2</v>
      </c>
      <c r="G88" s="22">
        <v>1</v>
      </c>
      <c r="H88" s="23" t="s">
        <v>55</v>
      </c>
      <c r="I88" s="20" t="s">
        <v>39</v>
      </c>
      <c r="J88" s="20"/>
    </row>
    <row r="89" spans="1:10" ht="13.5" customHeight="1" x14ac:dyDescent="0.2">
      <c r="A89" s="20" t="s">
        <v>133</v>
      </c>
      <c r="B89" s="20"/>
      <c r="C89" s="20"/>
      <c r="D89" s="20"/>
      <c r="E89" s="21">
        <v>231515</v>
      </c>
      <c r="F89" s="22">
        <v>1</v>
      </c>
      <c r="G89" s="22">
        <v>1</v>
      </c>
      <c r="H89" s="23" t="s">
        <v>47</v>
      </c>
      <c r="I89" s="20" t="s">
        <v>39</v>
      </c>
      <c r="J89" s="20"/>
    </row>
    <row r="90" spans="1:10" ht="13.5" customHeight="1" x14ac:dyDescent="0.2">
      <c r="A90" s="20" t="s">
        <v>133</v>
      </c>
      <c r="B90" s="20"/>
      <c r="C90" s="20"/>
      <c r="D90" s="20"/>
      <c r="E90" s="21">
        <v>231515</v>
      </c>
      <c r="F90" s="22">
        <v>2</v>
      </c>
      <c r="G90" s="22">
        <v>1</v>
      </c>
      <c r="H90" s="23" t="s">
        <v>46</v>
      </c>
      <c r="I90" s="20" t="s">
        <v>39</v>
      </c>
      <c r="J90" s="20"/>
    </row>
    <row r="91" spans="1:10" ht="13.5" customHeight="1" x14ac:dyDescent="0.2">
      <c r="A91" s="20" t="s">
        <v>134</v>
      </c>
      <c r="B91" s="20"/>
      <c r="C91" s="20"/>
      <c r="D91" s="20"/>
      <c r="E91" s="21">
        <v>231516</v>
      </c>
      <c r="F91" s="22">
        <v>1</v>
      </c>
      <c r="G91" s="22">
        <v>1</v>
      </c>
      <c r="H91" s="23" t="s">
        <v>47</v>
      </c>
      <c r="I91" s="20" t="s">
        <v>39</v>
      </c>
      <c r="J91" s="20"/>
    </row>
    <row r="92" spans="1:10" ht="13.5" customHeight="1" x14ac:dyDescent="0.2">
      <c r="A92" s="20" t="s">
        <v>134</v>
      </c>
      <c r="B92" s="20"/>
      <c r="C92" s="20"/>
      <c r="D92" s="20"/>
      <c r="E92" s="21">
        <v>231516</v>
      </c>
      <c r="F92" s="22">
        <v>2</v>
      </c>
      <c r="G92" s="22">
        <v>1</v>
      </c>
      <c r="H92" s="23" t="s">
        <v>49</v>
      </c>
      <c r="I92" s="20" t="s">
        <v>39</v>
      </c>
      <c r="J92" s="20"/>
    </row>
    <row r="93" spans="1:10" ht="13.5" customHeight="1" x14ac:dyDescent="0.2">
      <c r="A93" s="20" t="s">
        <v>135</v>
      </c>
      <c r="B93" s="20"/>
      <c r="C93" s="20"/>
      <c r="D93" s="20"/>
      <c r="E93" s="21">
        <v>231517</v>
      </c>
      <c r="F93" s="22">
        <v>1</v>
      </c>
      <c r="G93" s="22">
        <v>1</v>
      </c>
      <c r="H93" s="23" t="s">
        <v>47</v>
      </c>
      <c r="I93" s="20" t="s">
        <v>39</v>
      </c>
      <c r="J93" s="20"/>
    </row>
    <row r="94" spans="1:10" ht="13.5" customHeight="1" x14ac:dyDescent="0.2">
      <c r="A94" s="20" t="s">
        <v>135</v>
      </c>
      <c r="B94" s="20"/>
      <c r="C94" s="20"/>
      <c r="D94" s="20"/>
      <c r="E94" s="21">
        <v>231517</v>
      </c>
      <c r="F94" s="22">
        <v>2</v>
      </c>
      <c r="G94" s="22">
        <v>1</v>
      </c>
      <c r="H94" s="23" t="s">
        <v>49</v>
      </c>
      <c r="I94" s="20" t="s">
        <v>39</v>
      </c>
      <c r="J94" s="20"/>
    </row>
    <row r="95" spans="1:10" ht="13.5" customHeight="1" x14ac:dyDescent="0.2">
      <c r="A95" s="20" t="s">
        <v>136</v>
      </c>
      <c r="B95" s="20"/>
      <c r="C95" s="20"/>
      <c r="D95" s="20"/>
      <c r="E95" s="21">
        <v>231518</v>
      </c>
      <c r="F95" s="22">
        <v>1</v>
      </c>
      <c r="G95" s="22">
        <v>1</v>
      </c>
      <c r="H95" s="23" t="s">
        <v>137</v>
      </c>
      <c r="I95" s="20" t="s">
        <v>138</v>
      </c>
      <c r="J95" s="20"/>
    </row>
    <row r="96" spans="1:10" ht="13.5" customHeight="1" x14ac:dyDescent="0.2">
      <c r="A96" s="20" t="s">
        <v>139</v>
      </c>
      <c r="B96" s="20"/>
      <c r="C96" s="20"/>
      <c r="D96" s="20"/>
      <c r="E96" s="21">
        <v>231519</v>
      </c>
      <c r="F96" s="22">
        <v>1</v>
      </c>
      <c r="G96" s="22">
        <v>1</v>
      </c>
      <c r="H96" s="23" t="s">
        <v>56</v>
      </c>
      <c r="I96" s="20" t="s">
        <v>140</v>
      </c>
      <c r="J96" s="20"/>
    </row>
    <row r="97" spans="1:47" ht="13.5" customHeight="1" x14ac:dyDescent="0.2">
      <c r="A97" s="20" t="s">
        <v>141</v>
      </c>
      <c r="B97" s="20"/>
      <c r="C97" s="20"/>
      <c r="D97" s="20"/>
      <c r="E97" s="21">
        <v>231520</v>
      </c>
      <c r="F97" s="22">
        <v>1</v>
      </c>
      <c r="G97" s="22">
        <v>1</v>
      </c>
      <c r="H97" s="23" t="s">
        <v>131</v>
      </c>
      <c r="I97" s="20" t="s">
        <v>39</v>
      </c>
      <c r="J97" s="20"/>
    </row>
    <row r="98" spans="1:47" ht="13.5" customHeight="1" x14ac:dyDescent="0.2">
      <c r="A98" s="20" t="s">
        <v>141</v>
      </c>
      <c r="B98" s="20"/>
      <c r="C98" s="20"/>
      <c r="D98" s="20"/>
      <c r="E98" s="21">
        <v>231520</v>
      </c>
      <c r="F98" s="22">
        <v>2</v>
      </c>
      <c r="G98" s="22">
        <v>1</v>
      </c>
      <c r="H98" s="23" t="s">
        <v>53</v>
      </c>
      <c r="I98" s="20" t="s">
        <v>39</v>
      </c>
      <c r="J98" s="20"/>
    </row>
    <row r="99" spans="1:47" ht="13.5" customHeight="1" x14ac:dyDescent="0.2">
      <c r="A99" s="57" t="s">
        <v>177</v>
      </c>
      <c r="B99" s="57"/>
      <c r="C99" s="57"/>
      <c r="D99" s="57"/>
      <c r="E99" s="58">
        <v>231528</v>
      </c>
      <c r="F99" s="59">
        <v>1</v>
      </c>
      <c r="G99" s="59">
        <v>1</v>
      </c>
      <c r="H99" s="60" t="s">
        <v>51</v>
      </c>
      <c r="I99" s="57" t="s">
        <v>73</v>
      </c>
      <c r="J99" s="57"/>
      <c r="K99" s="61"/>
      <c r="L99" s="61"/>
      <c r="M99" s="61"/>
      <c r="N99" s="34"/>
    </row>
    <row r="100" spans="1:47" ht="13.5" customHeight="1" x14ac:dyDescent="0.2">
      <c r="A100" s="57" t="s">
        <v>178</v>
      </c>
      <c r="B100" s="57"/>
      <c r="C100" s="57"/>
      <c r="D100" s="57"/>
      <c r="E100" s="58">
        <v>231530</v>
      </c>
      <c r="F100" s="59">
        <v>1</v>
      </c>
      <c r="G100" s="59">
        <v>1</v>
      </c>
      <c r="H100" s="60" t="s">
        <v>179</v>
      </c>
      <c r="I100" s="57" t="s">
        <v>68</v>
      </c>
      <c r="J100" s="57"/>
      <c r="K100" s="61"/>
      <c r="L100" s="61"/>
      <c r="M100" s="61"/>
      <c r="N100" s="34"/>
    </row>
    <row r="101" spans="1:47" ht="13.5" customHeight="1" x14ac:dyDescent="0.2">
      <c r="A101" s="62" t="s">
        <v>183</v>
      </c>
      <c r="B101" s="62"/>
      <c r="C101" s="62"/>
      <c r="D101" s="62"/>
      <c r="E101" s="63">
        <v>231531</v>
      </c>
      <c r="F101" s="64">
        <v>1</v>
      </c>
      <c r="G101" s="64">
        <v>1</v>
      </c>
      <c r="H101" s="65" t="s">
        <v>129</v>
      </c>
      <c r="I101" s="62" t="s">
        <v>39</v>
      </c>
      <c r="J101" s="62"/>
      <c r="K101" s="66"/>
      <c r="L101" s="66"/>
      <c r="M101" s="66"/>
      <c r="N101" s="34"/>
    </row>
    <row r="102" spans="1:47" ht="13.5" customHeight="1" x14ac:dyDescent="0.2">
      <c r="A102" s="62" t="s">
        <v>184</v>
      </c>
      <c r="B102" s="62"/>
      <c r="C102" s="62"/>
      <c r="D102" s="62"/>
      <c r="E102" s="63">
        <v>231532</v>
      </c>
      <c r="F102" s="64">
        <v>1</v>
      </c>
      <c r="G102" s="64">
        <v>1</v>
      </c>
      <c r="H102" s="65" t="s">
        <v>53</v>
      </c>
      <c r="I102" s="62" t="s">
        <v>39</v>
      </c>
      <c r="J102" s="62"/>
      <c r="K102" s="66"/>
      <c r="L102" s="66"/>
      <c r="M102" s="66"/>
      <c r="N102" s="34"/>
    </row>
    <row r="103" spans="1:47" ht="13.5" customHeight="1" x14ac:dyDescent="0.2">
      <c r="A103" s="62" t="s">
        <v>185</v>
      </c>
      <c r="B103" s="62"/>
      <c r="C103" s="62"/>
      <c r="D103" s="62"/>
      <c r="E103" s="63">
        <v>231529</v>
      </c>
      <c r="F103" s="64">
        <v>1</v>
      </c>
      <c r="G103" s="64">
        <v>1</v>
      </c>
      <c r="H103" s="65" t="s">
        <v>53</v>
      </c>
      <c r="I103" s="62" t="s">
        <v>39</v>
      </c>
      <c r="J103" s="62"/>
      <c r="K103" s="66"/>
      <c r="L103" s="66"/>
      <c r="M103" s="66"/>
      <c r="N103" s="34"/>
    </row>
    <row r="104" spans="1:47" ht="13.5" customHeight="1" x14ac:dyDescent="0.2">
      <c r="A104" s="57" t="s">
        <v>180</v>
      </c>
      <c r="B104" s="57"/>
      <c r="C104" s="57"/>
      <c r="D104" s="57"/>
      <c r="E104" s="58">
        <v>231533</v>
      </c>
      <c r="F104" s="59">
        <v>1</v>
      </c>
      <c r="G104" s="59">
        <v>1</v>
      </c>
      <c r="H104" s="60" t="s">
        <v>67</v>
      </c>
      <c r="I104" s="57" t="s">
        <v>52</v>
      </c>
      <c r="J104" s="57"/>
      <c r="K104" s="61"/>
      <c r="L104" s="61"/>
      <c r="M104" s="61"/>
      <c r="N104" s="34"/>
    </row>
    <row r="105" spans="1:47" ht="13.5" customHeight="1" x14ac:dyDescent="0.2">
      <c r="A105" s="19" t="s">
        <v>8</v>
      </c>
    </row>
    <row r="106" spans="1:47" ht="13.5" customHeight="1" x14ac:dyDescent="0.2">
      <c r="A106" s="20" t="s">
        <v>142</v>
      </c>
      <c r="B106" s="20"/>
      <c r="C106" s="20"/>
      <c r="D106" s="20"/>
      <c r="E106" s="21">
        <v>231404</v>
      </c>
      <c r="F106" s="22">
        <v>1</v>
      </c>
      <c r="G106" s="22">
        <v>1</v>
      </c>
      <c r="H106" s="23" t="s">
        <v>143</v>
      </c>
      <c r="I106" s="20" t="s">
        <v>69</v>
      </c>
      <c r="J106" s="20"/>
      <c r="AP106" s="44" t="s">
        <v>188</v>
      </c>
      <c r="AQ106" s="44">
        <v>231404</v>
      </c>
      <c r="AR106" s="44">
        <v>1</v>
      </c>
      <c r="AS106" s="44">
        <v>1</v>
      </c>
      <c r="AT106" s="46">
        <v>46101.447916666664</v>
      </c>
      <c r="AU106" s="47" t="s">
        <v>66</v>
      </c>
    </row>
    <row r="107" spans="1:47" ht="13.5" customHeight="1" x14ac:dyDescent="0.2">
      <c r="A107" s="20" t="s">
        <v>142</v>
      </c>
      <c r="B107" s="20"/>
      <c r="C107" s="20"/>
      <c r="D107" s="20"/>
      <c r="E107" s="21">
        <v>231404</v>
      </c>
      <c r="F107" s="22">
        <v>2</v>
      </c>
      <c r="G107" s="22">
        <v>1</v>
      </c>
      <c r="H107" s="23" t="s">
        <v>144</v>
      </c>
      <c r="I107" s="20" t="s">
        <v>69</v>
      </c>
      <c r="J107" s="20"/>
      <c r="AP107" s="44" t="s">
        <v>189</v>
      </c>
      <c r="AQ107" s="44">
        <v>231404</v>
      </c>
      <c r="AR107" s="44">
        <v>2</v>
      </c>
      <c r="AS107" s="44">
        <v>1</v>
      </c>
      <c r="AT107" s="46">
        <v>46101.443749999999</v>
      </c>
      <c r="AU107" s="47" t="s">
        <v>66</v>
      </c>
    </row>
    <row r="108" spans="1:47" ht="13.5" customHeight="1" x14ac:dyDescent="0.2">
      <c r="A108" s="20" t="s">
        <v>142</v>
      </c>
      <c r="B108" s="20"/>
      <c r="C108" s="20"/>
      <c r="D108" s="20"/>
      <c r="E108" s="21">
        <v>231404</v>
      </c>
      <c r="F108" s="22">
        <v>3</v>
      </c>
      <c r="G108" s="22">
        <v>1</v>
      </c>
      <c r="H108" s="23" t="s">
        <v>145</v>
      </c>
      <c r="I108" s="20" t="s">
        <v>69</v>
      </c>
      <c r="J108" s="20"/>
      <c r="AP108" s="44" t="s">
        <v>190</v>
      </c>
      <c r="AQ108" s="44">
        <v>231404</v>
      </c>
      <c r="AR108" s="44">
        <v>3</v>
      </c>
      <c r="AS108" s="44">
        <v>1</v>
      </c>
      <c r="AT108" s="46">
        <v>46101.488194444442</v>
      </c>
      <c r="AU108" s="47" t="s">
        <v>66</v>
      </c>
    </row>
    <row r="109" spans="1:47" ht="13.5" customHeight="1" x14ac:dyDescent="0.2">
      <c r="A109" s="20" t="s">
        <v>146</v>
      </c>
      <c r="B109" s="20"/>
      <c r="C109" s="20"/>
      <c r="D109" s="20"/>
      <c r="E109" s="21">
        <v>231405</v>
      </c>
      <c r="F109" s="22">
        <v>1</v>
      </c>
      <c r="G109" s="22">
        <v>1</v>
      </c>
      <c r="H109" s="23" t="s">
        <v>147</v>
      </c>
      <c r="I109" s="20" t="s">
        <v>69</v>
      </c>
      <c r="J109" s="20"/>
      <c r="AP109" s="44" t="s">
        <v>191</v>
      </c>
      <c r="AQ109" s="44">
        <v>231405</v>
      </c>
      <c r="AR109" s="44">
        <v>1</v>
      </c>
      <c r="AS109" s="44">
        <v>1</v>
      </c>
      <c r="AT109" s="46">
        <v>46101.458333333336</v>
      </c>
      <c r="AU109" s="47" t="s">
        <v>66</v>
      </c>
    </row>
    <row r="110" spans="1:47" ht="13.5" customHeight="1" x14ac:dyDescent="0.2">
      <c r="A110" s="20" t="s">
        <v>146</v>
      </c>
      <c r="B110" s="20"/>
      <c r="C110" s="20"/>
      <c r="D110" s="20"/>
      <c r="E110" s="21">
        <v>231405</v>
      </c>
      <c r="F110" s="22">
        <v>2</v>
      </c>
      <c r="G110" s="22">
        <v>1</v>
      </c>
      <c r="H110" s="23" t="s">
        <v>58</v>
      </c>
      <c r="I110" s="20" t="s">
        <v>69</v>
      </c>
      <c r="J110" s="20"/>
      <c r="AP110" s="44" t="s">
        <v>192</v>
      </c>
      <c r="AQ110" s="44">
        <v>231405</v>
      </c>
      <c r="AR110" s="44">
        <v>2</v>
      </c>
      <c r="AS110" s="44">
        <v>1</v>
      </c>
      <c r="AT110" s="46">
        <v>46101.443749999999</v>
      </c>
      <c r="AU110" s="47" t="s">
        <v>66</v>
      </c>
    </row>
    <row r="111" spans="1:47" ht="13.5" customHeight="1" x14ac:dyDescent="0.2">
      <c r="A111" s="20" t="s">
        <v>148</v>
      </c>
      <c r="B111" s="20"/>
      <c r="C111" s="20"/>
      <c r="D111" s="20"/>
      <c r="E111" s="21">
        <v>231406</v>
      </c>
      <c r="F111" s="22">
        <v>1</v>
      </c>
      <c r="G111" s="22">
        <v>1</v>
      </c>
      <c r="H111" s="23" t="s">
        <v>149</v>
      </c>
      <c r="I111" s="20" t="s">
        <v>69</v>
      </c>
      <c r="J111" s="20"/>
      <c r="P111" s="44" t="s">
        <v>193</v>
      </c>
      <c r="Q111" s="44">
        <v>231406</v>
      </c>
      <c r="R111" s="44">
        <v>1</v>
      </c>
      <c r="S111" s="45">
        <v>1</v>
      </c>
      <c r="T111" s="53">
        <v>46104.467361111114</v>
      </c>
      <c r="U111" s="47" t="s">
        <v>66</v>
      </c>
      <c r="V111" s="67" t="s">
        <v>212</v>
      </c>
      <c r="AP111" s="44" t="s">
        <v>193</v>
      </c>
      <c r="AQ111" s="44">
        <v>231406</v>
      </c>
      <c r="AR111" s="44">
        <v>1</v>
      </c>
      <c r="AS111" s="44">
        <v>1</v>
      </c>
      <c r="AT111" s="46">
        <v>46104.466666666667</v>
      </c>
      <c r="AU111" s="47" t="s">
        <v>66</v>
      </c>
    </row>
    <row r="112" spans="1:47" ht="13.5" customHeight="1" x14ac:dyDescent="0.2">
      <c r="A112" s="20" t="s">
        <v>148</v>
      </c>
      <c r="B112" s="20"/>
      <c r="C112" s="20"/>
      <c r="D112" s="20"/>
      <c r="E112" s="21">
        <v>231406</v>
      </c>
      <c r="F112" s="22">
        <v>2</v>
      </c>
      <c r="G112" s="22">
        <v>1</v>
      </c>
      <c r="H112" s="23" t="s">
        <v>60</v>
      </c>
      <c r="I112" s="20" t="s">
        <v>69</v>
      </c>
      <c r="J112" s="20"/>
      <c r="AP112" s="44" t="s">
        <v>194</v>
      </c>
      <c r="AQ112" s="44">
        <v>231406</v>
      </c>
      <c r="AR112" s="44">
        <v>2</v>
      </c>
      <c r="AS112" s="44">
        <v>1</v>
      </c>
      <c r="AT112" s="46">
        <v>46101.444444444445</v>
      </c>
      <c r="AU112" s="47" t="s">
        <v>66</v>
      </c>
    </row>
    <row r="113" spans="1:47" ht="13.5" customHeight="1" x14ac:dyDescent="0.2">
      <c r="A113" s="20" t="s">
        <v>150</v>
      </c>
      <c r="B113" s="20"/>
      <c r="C113" s="20"/>
      <c r="D113" s="20"/>
      <c r="E113" s="21">
        <v>231407</v>
      </c>
      <c r="F113" s="22">
        <v>1</v>
      </c>
      <c r="G113" s="22">
        <v>1</v>
      </c>
      <c r="H113" s="23" t="s">
        <v>151</v>
      </c>
      <c r="I113" s="20" t="s">
        <v>73</v>
      </c>
      <c r="J113" s="20"/>
      <c r="AP113" s="44"/>
      <c r="AQ113" s="44"/>
      <c r="AR113" s="44"/>
      <c r="AS113" s="44"/>
      <c r="AT113" s="44"/>
      <c r="AU113" s="44"/>
    </row>
    <row r="114" spans="1:47" ht="13.5" customHeight="1" x14ac:dyDescent="0.2">
      <c r="A114" s="20" t="s">
        <v>152</v>
      </c>
      <c r="B114" s="20"/>
      <c r="C114" s="20"/>
      <c r="D114" s="20"/>
      <c r="E114" s="21">
        <v>231408</v>
      </c>
      <c r="F114" s="22">
        <v>1</v>
      </c>
      <c r="G114" s="22">
        <v>1</v>
      </c>
      <c r="H114" s="23" t="s">
        <v>153</v>
      </c>
      <c r="I114" s="20" t="s">
        <v>73</v>
      </c>
      <c r="J114" s="20"/>
      <c r="AP114" s="44" t="s">
        <v>195</v>
      </c>
      <c r="AQ114" s="44">
        <v>231408</v>
      </c>
      <c r="AR114" s="44">
        <v>1</v>
      </c>
      <c r="AS114" s="44">
        <v>1</v>
      </c>
      <c r="AT114" s="46">
        <v>46101.453472222223</v>
      </c>
      <c r="AU114" s="47" t="s">
        <v>66</v>
      </c>
    </row>
    <row r="115" spans="1:47" ht="13.5" customHeight="1" x14ac:dyDescent="0.2">
      <c r="A115" s="20" t="s">
        <v>154</v>
      </c>
      <c r="B115" s="20"/>
      <c r="C115" s="20"/>
      <c r="D115" s="20"/>
      <c r="E115" s="21">
        <v>231409</v>
      </c>
      <c r="F115" s="22">
        <v>1</v>
      </c>
      <c r="G115" s="22">
        <v>1</v>
      </c>
      <c r="H115" s="23" t="s">
        <v>155</v>
      </c>
      <c r="I115" s="20" t="s">
        <v>54</v>
      </c>
      <c r="J115" s="20"/>
      <c r="AP115" s="44" t="s">
        <v>196</v>
      </c>
      <c r="AQ115" s="44">
        <v>231409</v>
      </c>
      <c r="AR115" s="44">
        <v>1</v>
      </c>
      <c r="AS115" s="44">
        <v>1</v>
      </c>
      <c r="AT115" s="46">
        <v>46101.477777777778</v>
      </c>
      <c r="AU115" s="47" t="s">
        <v>66</v>
      </c>
    </row>
    <row r="116" spans="1:47" ht="13.5" customHeight="1" x14ac:dyDescent="0.2">
      <c r="A116" s="20" t="s">
        <v>154</v>
      </c>
      <c r="B116" s="20"/>
      <c r="C116" s="20"/>
      <c r="D116" s="20"/>
      <c r="E116" s="21">
        <v>231409</v>
      </c>
      <c r="F116" s="22">
        <v>2</v>
      </c>
      <c r="G116" s="22">
        <v>1</v>
      </c>
      <c r="H116" s="23" t="s">
        <v>156</v>
      </c>
      <c r="I116" s="20" t="s">
        <v>54</v>
      </c>
      <c r="J116" s="20"/>
      <c r="AP116" s="44" t="s">
        <v>197</v>
      </c>
      <c r="AQ116" s="44">
        <v>231409</v>
      </c>
      <c r="AR116" s="44">
        <v>2</v>
      </c>
      <c r="AS116" s="44">
        <v>1</v>
      </c>
      <c r="AT116" s="46">
        <v>46101.455555555556</v>
      </c>
      <c r="AU116" s="47" t="s">
        <v>66</v>
      </c>
    </row>
    <row r="117" spans="1:47" ht="13.5" customHeight="1" x14ac:dyDescent="0.2">
      <c r="A117" s="20" t="s">
        <v>157</v>
      </c>
      <c r="B117" s="20"/>
      <c r="C117" s="20"/>
      <c r="D117" s="20"/>
      <c r="E117" s="21">
        <v>231410</v>
      </c>
      <c r="F117" s="22">
        <v>1</v>
      </c>
      <c r="G117" s="22">
        <v>1</v>
      </c>
      <c r="H117" s="23" t="s">
        <v>158</v>
      </c>
      <c r="I117" s="20" t="s">
        <v>52</v>
      </c>
      <c r="J117" s="20"/>
      <c r="AP117" s="44" t="s">
        <v>198</v>
      </c>
      <c r="AQ117" s="44">
        <v>231410</v>
      </c>
      <c r="AR117" s="44">
        <v>1</v>
      </c>
      <c r="AS117" s="44">
        <v>1</v>
      </c>
      <c r="AT117" s="46">
        <v>46101.444444444445</v>
      </c>
      <c r="AU117" s="47" t="s">
        <v>66</v>
      </c>
    </row>
    <row r="118" spans="1:47" ht="13.5" customHeight="1" x14ac:dyDescent="0.2">
      <c r="A118" s="20" t="s">
        <v>157</v>
      </c>
      <c r="B118" s="20"/>
      <c r="C118" s="20"/>
      <c r="D118" s="20"/>
      <c r="E118" s="21">
        <v>231410</v>
      </c>
      <c r="F118" s="22">
        <v>2</v>
      </c>
      <c r="G118" s="22">
        <v>1</v>
      </c>
      <c r="H118" s="23" t="s">
        <v>159</v>
      </c>
      <c r="I118" s="20" t="s">
        <v>52</v>
      </c>
      <c r="J118" s="20"/>
      <c r="AP118" s="44" t="s">
        <v>199</v>
      </c>
      <c r="AQ118" s="44">
        <v>231410</v>
      </c>
      <c r="AR118" s="44">
        <v>2</v>
      </c>
      <c r="AS118" s="44">
        <v>1</v>
      </c>
      <c r="AT118" s="46">
        <v>46101.458333333336</v>
      </c>
      <c r="AU118" s="47" t="s">
        <v>66</v>
      </c>
    </row>
    <row r="119" spans="1:47" ht="13.5" customHeight="1" x14ac:dyDescent="0.2">
      <c r="A119" s="20" t="s">
        <v>160</v>
      </c>
      <c r="B119" s="20"/>
      <c r="C119" s="20"/>
      <c r="D119" s="20"/>
      <c r="E119" s="21">
        <v>231411</v>
      </c>
      <c r="F119" s="22">
        <v>1</v>
      </c>
      <c r="G119" s="22">
        <v>1</v>
      </c>
      <c r="H119" s="23" t="s">
        <v>57</v>
      </c>
      <c r="I119" s="20" t="s">
        <v>81</v>
      </c>
      <c r="J119" s="20"/>
      <c r="AP119" s="44" t="s">
        <v>200</v>
      </c>
      <c r="AQ119" s="44">
        <v>231411</v>
      </c>
      <c r="AR119" s="44">
        <v>1</v>
      </c>
      <c r="AS119" s="44">
        <v>1</v>
      </c>
      <c r="AT119" s="46">
        <v>46101.447916666664</v>
      </c>
      <c r="AU119" s="47" t="s">
        <v>66</v>
      </c>
    </row>
    <row r="120" spans="1:47" ht="13.5" customHeight="1" x14ac:dyDescent="0.2">
      <c r="A120" s="20" t="s">
        <v>160</v>
      </c>
      <c r="B120" s="20"/>
      <c r="C120" s="20"/>
      <c r="D120" s="20"/>
      <c r="E120" s="21">
        <v>231411</v>
      </c>
      <c r="F120" s="22">
        <v>2</v>
      </c>
      <c r="G120" s="22">
        <v>1</v>
      </c>
      <c r="H120" s="23" t="s">
        <v>161</v>
      </c>
      <c r="I120" s="20" t="s">
        <v>81</v>
      </c>
      <c r="J120" s="20"/>
      <c r="AP120" s="44" t="s">
        <v>201</v>
      </c>
      <c r="AQ120" s="44">
        <v>231411</v>
      </c>
      <c r="AR120" s="44">
        <v>2</v>
      </c>
      <c r="AS120" s="44">
        <v>1</v>
      </c>
      <c r="AT120" s="46">
        <v>46101.484027777777</v>
      </c>
      <c r="AU120" s="47" t="s">
        <v>66</v>
      </c>
    </row>
    <row r="121" spans="1:47" ht="13.5" customHeight="1" x14ac:dyDescent="0.2">
      <c r="A121" s="20" t="s">
        <v>162</v>
      </c>
      <c r="B121" s="20"/>
      <c r="C121" s="20"/>
      <c r="D121" s="20"/>
      <c r="E121" s="21">
        <v>231412</v>
      </c>
      <c r="F121" s="22">
        <v>1</v>
      </c>
      <c r="G121" s="22">
        <v>1</v>
      </c>
      <c r="H121" s="23" t="s">
        <v>163</v>
      </c>
      <c r="I121" s="20" t="s">
        <v>87</v>
      </c>
      <c r="J121" s="20"/>
      <c r="AP121" s="44" t="s">
        <v>202</v>
      </c>
      <c r="AQ121" s="44">
        <v>231412</v>
      </c>
      <c r="AR121" s="44">
        <v>1</v>
      </c>
      <c r="AS121" s="44">
        <v>1</v>
      </c>
      <c r="AT121" s="46">
        <v>46101.543055555558</v>
      </c>
      <c r="AU121" s="47" t="s">
        <v>66</v>
      </c>
    </row>
    <row r="122" spans="1:47" ht="13.5" hidden="1" customHeight="1" x14ac:dyDescent="0.2">
      <c r="A122" s="24" t="s">
        <v>164</v>
      </c>
      <c r="B122" s="24"/>
      <c r="C122" s="24"/>
      <c r="D122" s="24"/>
      <c r="E122" s="25">
        <v>231413</v>
      </c>
      <c r="F122" s="26">
        <v>1</v>
      </c>
      <c r="G122" s="26">
        <v>1</v>
      </c>
      <c r="H122" s="27" t="s">
        <v>60</v>
      </c>
      <c r="I122" s="24" t="s">
        <v>59</v>
      </c>
      <c r="J122" s="24"/>
      <c r="K122" s="28"/>
      <c r="L122" s="28"/>
      <c r="M122" s="28"/>
      <c r="AP122" s="44" t="s">
        <v>203</v>
      </c>
      <c r="AQ122" s="44">
        <v>231413</v>
      </c>
      <c r="AR122" s="44">
        <v>1</v>
      </c>
      <c r="AS122" s="44">
        <v>1</v>
      </c>
      <c r="AT122" s="46">
        <v>46101.459027777775</v>
      </c>
      <c r="AU122" s="47" t="s">
        <v>66</v>
      </c>
    </row>
    <row r="123" spans="1:47" ht="13.5" hidden="1" customHeight="1" x14ac:dyDescent="0.2">
      <c r="A123" s="24" t="s">
        <v>165</v>
      </c>
      <c r="B123" s="24"/>
      <c r="C123" s="24"/>
      <c r="D123" s="24"/>
      <c r="E123" s="25">
        <v>231425</v>
      </c>
      <c r="F123" s="26">
        <v>2</v>
      </c>
      <c r="G123" s="26">
        <v>1</v>
      </c>
      <c r="H123" s="27" t="s">
        <v>166</v>
      </c>
      <c r="I123" s="24" t="s">
        <v>59</v>
      </c>
      <c r="J123" s="24"/>
      <c r="K123" s="28"/>
      <c r="L123" s="28"/>
      <c r="M123" s="28"/>
      <c r="AP123" s="44" t="s">
        <v>204</v>
      </c>
      <c r="AQ123" s="44">
        <v>231425</v>
      </c>
      <c r="AR123" s="44">
        <v>2</v>
      </c>
      <c r="AS123" s="44">
        <v>1</v>
      </c>
      <c r="AT123" s="46">
        <v>46101.496527777781</v>
      </c>
      <c r="AU123" s="47" t="s">
        <v>66</v>
      </c>
    </row>
    <row r="124" spans="1:47" ht="13.5" hidden="1" customHeight="1" x14ac:dyDescent="0.2">
      <c r="A124" s="24" t="s">
        <v>167</v>
      </c>
      <c r="B124" s="24"/>
      <c r="C124" s="24"/>
      <c r="D124" s="24"/>
      <c r="E124" s="25">
        <v>231444</v>
      </c>
      <c r="F124" s="26">
        <v>1</v>
      </c>
      <c r="G124" s="26">
        <v>1</v>
      </c>
      <c r="H124" s="27" t="s">
        <v>168</v>
      </c>
      <c r="I124" s="24" t="s">
        <v>59</v>
      </c>
      <c r="J124" s="24"/>
      <c r="K124" s="28"/>
      <c r="L124" s="28"/>
      <c r="M124" s="28"/>
      <c r="AP124" s="44"/>
      <c r="AQ124" s="44"/>
      <c r="AR124" s="44"/>
      <c r="AS124" s="44"/>
      <c r="AT124" s="44"/>
      <c r="AU124" s="44"/>
    </row>
    <row r="125" spans="1:47" ht="13.5" hidden="1" customHeight="1" x14ac:dyDescent="0.2">
      <c r="A125" s="24" t="s">
        <v>167</v>
      </c>
      <c r="B125" s="24"/>
      <c r="C125" s="24"/>
      <c r="D125" s="24"/>
      <c r="E125" s="25">
        <v>231444</v>
      </c>
      <c r="F125" s="26">
        <v>2</v>
      </c>
      <c r="G125" s="26">
        <v>1</v>
      </c>
      <c r="H125" s="27" t="s">
        <v>60</v>
      </c>
      <c r="I125" s="24" t="s">
        <v>59</v>
      </c>
      <c r="J125" s="24"/>
      <c r="K125" s="28"/>
      <c r="L125" s="28"/>
      <c r="M125" s="28"/>
      <c r="AP125" s="44" t="s">
        <v>205</v>
      </c>
      <c r="AQ125" s="44">
        <v>231444</v>
      </c>
      <c r="AR125" s="44">
        <v>2</v>
      </c>
      <c r="AS125" s="44">
        <v>1</v>
      </c>
      <c r="AT125" s="46">
        <v>46101.581250000003</v>
      </c>
      <c r="AU125" s="47" t="s">
        <v>66</v>
      </c>
    </row>
    <row r="126" spans="1:47" ht="13.5" hidden="1" customHeight="1" x14ac:dyDescent="0.2">
      <c r="A126" s="24" t="s">
        <v>167</v>
      </c>
      <c r="B126" s="24"/>
      <c r="C126" s="24"/>
      <c r="D126" s="24"/>
      <c r="E126" s="25">
        <v>231445</v>
      </c>
      <c r="F126" s="26">
        <v>1</v>
      </c>
      <c r="G126" s="26">
        <v>1</v>
      </c>
      <c r="H126" s="27" t="s">
        <v>60</v>
      </c>
      <c r="I126" s="24" t="s">
        <v>59</v>
      </c>
      <c r="J126" s="24"/>
      <c r="K126" s="28"/>
      <c r="L126" s="28"/>
      <c r="M126" s="28"/>
      <c r="AP126" s="44" t="s">
        <v>206</v>
      </c>
      <c r="AQ126" s="44">
        <v>231445</v>
      </c>
      <c r="AR126" s="44">
        <v>1</v>
      </c>
      <c r="AS126" s="44">
        <v>1</v>
      </c>
      <c r="AT126" s="46">
        <v>46101.573611111111</v>
      </c>
      <c r="AU126" s="47" t="s">
        <v>66</v>
      </c>
    </row>
    <row r="127" spans="1:47" ht="13.5" hidden="1" customHeight="1" x14ac:dyDescent="0.2">
      <c r="A127" s="24" t="s">
        <v>167</v>
      </c>
      <c r="B127" s="24"/>
      <c r="C127" s="24"/>
      <c r="D127" s="24"/>
      <c r="E127" s="25">
        <v>231445</v>
      </c>
      <c r="F127" s="26">
        <v>2</v>
      </c>
      <c r="G127" s="26">
        <v>1</v>
      </c>
      <c r="H127" s="27" t="s">
        <v>169</v>
      </c>
      <c r="I127" s="24" t="s">
        <v>59</v>
      </c>
      <c r="J127" s="24"/>
      <c r="K127" s="28"/>
      <c r="L127" s="28"/>
      <c r="M127" s="28"/>
      <c r="AP127" s="44" t="s">
        <v>207</v>
      </c>
      <c r="AQ127" s="44">
        <v>231445</v>
      </c>
      <c r="AR127" s="44">
        <v>2</v>
      </c>
      <c r="AS127" s="44">
        <v>1</v>
      </c>
      <c r="AT127" s="46">
        <v>46101.556250000001</v>
      </c>
      <c r="AU127" s="47" t="s">
        <v>66</v>
      </c>
    </row>
    <row r="128" spans="1:47" ht="13.5" hidden="1" customHeight="1" x14ac:dyDescent="0.2">
      <c r="A128" s="24" t="s">
        <v>170</v>
      </c>
      <c r="B128" s="24"/>
      <c r="C128" s="24"/>
      <c r="D128" s="24"/>
      <c r="E128" s="25">
        <v>231446</v>
      </c>
      <c r="F128" s="26">
        <v>1</v>
      </c>
      <c r="G128" s="26">
        <v>1</v>
      </c>
      <c r="H128" s="27" t="s">
        <v>171</v>
      </c>
      <c r="I128" s="24" t="s">
        <v>59</v>
      </c>
      <c r="J128" s="24"/>
      <c r="K128" s="28"/>
      <c r="L128" s="28"/>
      <c r="M128" s="28"/>
      <c r="AP128" s="44" t="s">
        <v>208</v>
      </c>
      <c r="AQ128" s="44">
        <v>231446</v>
      </c>
      <c r="AR128" s="44">
        <v>1</v>
      </c>
      <c r="AS128" s="44">
        <v>1</v>
      </c>
      <c r="AT128" s="46">
        <v>46101.55972222222</v>
      </c>
      <c r="AU128" s="47" t="s">
        <v>66</v>
      </c>
    </row>
    <row r="129" spans="1:47" ht="13.5" hidden="1" customHeight="1" x14ac:dyDescent="0.2">
      <c r="A129" s="24" t="s">
        <v>170</v>
      </c>
      <c r="B129" s="24"/>
      <c r="C129" s="24"/>
      <c r="D129" s="24"/>
      <c r="E129" s="25">
        <v>231446</v>
      </c>
      <c r="F129" s="26">
        <v>2</v>
      </c>
      <c r="G129" s="26">
        <v>1</v>
      </c>
      <c r="H129" s="27" t="s">
        <v>172</v>
      </c>
      <c r="I129" s="24" t="s">
        <v>59</v>
      </c>
      <c r="J129" s="24"/>
      <c r="K129" s="28"/>
      <c r="L129" s="28"/>
      <c r="M129" s="28"/>
      <c r="AP129" s="44" t="s">
        <v>209</v>
      </c>
      <c r="AQ129" s="44">
        <v>231446</v>
      </c>
      <c r="AR129" s="44">
        <v>2</v>
      </c>
      <c r="AS129" s="44">
        <v>1</v>
      </c>
      <c r="AT129" s="46">
        <v>46104.47152777778</v>
      </c>
      <c r="AU129" s="47" t="s">
        <v>66</v>
      </c>
    </row>
    <row r="130" spans="1:47" ht="13.5" hidden="1" customHeight="1" x14ac:dyDescent="0.2">
      <c r="A130" s="24" t="s">
        <v>170</v>
      </c>
      <c r="B130" s="24"/>
      <c r="C130" s="24"/>
      <c r="D130" s="24"/>
      <c r="E130" s="25">
        <v>231447</v>
      </c>
      <c r="F130" s="26">
        <v>1</v>
      </c>
      <c r="G130" s="26">
        <v>1</v>
      </c>
      <c r="H130" s="27" t="s">
        <v>60</v>
      </c>
      <c r="I130" s="24" t="s">
        <v>59</v>
      </c>
      <c r="J130" s="24"/>
      <c r="K130" s="28"/>
      <c r="L130" s="28"/>
      <c r="M130" s="28"/>
      <c r="AP130" s="44" t="s">
        <v>210</v>
      </c>
      <c r="AQ130" s="44">
        <v>231447</v>
      </c>
      <c r="AR130" s="44">
        <v>1</v>
      </c>
      <c r="AS130" s="44">
        <v>1</v>
      </c>
      <c r="AT130" s="46">
        <v>46101.573611111111</v>
      </c>
      <c r="AU130" s="47" t="s">
        <v>66</v>
      </c>
    </row>
    <row r="131" spans="1:47" ht="13.5" hidden="1" customHeight="1" x14ac:dyDescent="0.2">
      <c r="A131" s="24" t="s">
        <v>170</v>
      </c>
      <c r="B131" s="24"/>
      <c r="C131" s="24"/>
      <c r="D131" s="24"/>
      <c r="E131" s="25">
        <v>231447</v>
      </c>
      <c r="F131" s="26">
        <v>2</v>
      </c>
      <c r="G131" s="26">
        <v>1</v>
      </c>
      <c r="H131" s="27" t="s">
        <v>173</v>
      </c>
      <c r="I131" s="24" t="s">
        <v>59</v>
      </c>
      <c r="J131" s="24"/>
      <c r="K131" s="28"/>
      <c r="L131" s="28"/>
      <c r="M131" s="28"/>
      <c r="AP131" s="44" t="s">
        <v>211</v>
      </c>
      <c r="AQ131" s="44">
        <v>231447</v>
      </c>
      <c r="AR131" s="44">
        <v>2</v>
      </c>
      <c r="AS131" s="44">
        <v>1</v>
      </c>
      <c r="AT131" s="46">
        <v>46101.560416666667</v>
      </c>
      <c r="AU131" s="47" t="s">
        <v>66</v>
      </c>
    </row>
    <row r="132" spans="1:47" ht="13.5" customHeight="1" x14ac:dyDescent="0.2">
      <c r="A132" s="62" t="s">
        <v>186</v>
      </c>
      <c r="B132" s="62"/>
      <c r="C132" s="62"/>
      <c r="D132" s="62"/>
      <c r="E132" s="63">
        <v>231489</v>
      </c>
      <c r="F132" s="64">
        <v>2</v>
      </c>
      <c r="G132" s="64">
        <v>1</v>
      </c>
      <c r="H132" s="65" t="s">
        <v>174</v>
      </c>
      <c r="I132" s="62" t="s">
        <v>175</v>
      </c>
      <c r="J132" s="62"/>
      <c r="K132" s="66"/>
      <c r="L132" s="66"/>
      <c r="M132" s="66"/>
    </row>
    <row r="133" spans="1:47" ht="13.5" customHeight="1" x14ac:dyDescent="0.2">
      <c r="A133" s="62" t="s">
        <v>186</v>
      </c>
      <c r="B133" s="62"/>
      <c r="C133" s="62"/>
      <c r="D133" s="62"/>
      <c r="E133" s="63">
        <v>231489</v>
      </c>
      <c r="F133" s="64">
        <v>3</v>
      </c>
      <c r="G133" s="64">
        <v>1</v>
      </c>
      <c r="H133" s="65" t="s">
        <v>176</v>
      </c>
      <c r="I133" s="62" t="s">
        <v>175</v>
      </c>
      <c r="J133" s="62"/>
      <c r="K133" s="66"/>
      <c r="L133" s="66"/>
      <c r="M133" s="66"/>
    </row>
    <row r="134" spans="1:47" ht="13.5" customHeight="1" x14ac:dyDescent="0.2">
      <c r="A134" s="62" t="s">
        <v>186</v>
      </c>
      <c r="B134" s="62"/>
      <c r="C134" s="62"/>
      <c r="D134" s="62"/>
      <c r="E134" s="63">
        <v>231489</v>
      </c>
      <c r="F134" s="64">
        <v>4</v>
      </c>
      <c r="G134" s="64">
        <v>1</v>
      </c>
      <c r="H134" s="65" t="s">
        <v>174</v>
      </c>
      <c r="I134" s="62" t="s">
        <v>175</v>
      </c>
      <c r="J134" s="62"/>
      <c r="K134" s="66"/>
      <c r="L134" s="66"/>
      <c r="M134" s="66"/>
    </row>
    <row r="135" spans="1:47" ht="13.5" customHeight="1" x14ac:dyDescent="0.2">
      <c r="A135" s="57" t="s">
        <v>61</v>
      </c>
      <c r="B135" s="57"/>
      <c r="C135" s="57"/>
      <c r="D135" s="57"/>
      <c r="E135" s="58">
        <v>231540</v>
      </c>
      <c r="F135" s="59">
        <v>1</v>
      </c>
      <c r="G135" s="59">
        <v>1</v>
      </c>
      <c r="H135" s="60" t="s">
        <v>181</v>
      </c>
      <c r="I135" s="57" t="s">
        <v>62</v>
      </c>
      <c r="J135" s="57"/>
      <c r="K135" s="61"/>
      <c r="L135" s="61"/>
      <c r="M135" s="61"/>
      <c r="N135" s="34"/>
    </row>
    <row r="136" spans="1:47" ht="12" customHeight="1" x14ac:dyDescent="0.2"/>
    <row r="137" spans="1:47" ht="12.95" customHeight="1" x14ac:dyDescent="0.2"/>
    <row r="138" spans="1:47" ht="15" customHeight="1" x14ac:dyDescent="0.2">
      <c r="J138" s="29"/>
      <c r="K138" s="30"/>
      <c r="L138" s="30"/>
      <c r="M138" s="30"/>
      <c r="N138" s="30"/>
    </row>
  </sheetData>
  <sheetProtection sheet="1" objects="1" scenarios="1" selectLockedCells="1"/>
  <mergeCells count="265">
    <mergeCell ref="A134:D134"/>
    <mergeCell ref="I134:J134"/>
    <mergeCell ref="A135:D135"/>
    <mergeCell ref="I135:J135"/>
    <mergeCell ref="A131:D131"/>
    <mergeCell ref="I131:J131"/>
    <mergeCell ref="A132:D132"/>
    <mergeCell ref="I132:J132"/>
    <mergeCell ref="A133:D133"/>
    <mergeCell ref="I133:J133"/>
    <mergeCell ref="A128:D128"/>
    <mergeCell ref="I128:J128"/>
    <mergeCell ref="A129:D129"/>
    <mergeCell ref="I129:J129"/>
    <mergeCell ref="A130:D130"/>
    <mergeCell ref="I130:J130"/>
    <mergeCell ref="A125:D125"/>
    <mergeCell ref="I125:J125"/>
    <mergeCell ref="A126:D126"/>
    <mergeCell ref="I126:J126"/>
    <mergeCell ref="A127:D127"/>
    <mergeCell ref="I127:J127"/>
    <mergeCell ref="A122:D122"/>
    <mergeCell ref="I122:J122"/>
    <mergeCell ref="A123:D123"/>
    <mergeCell ref="I123:J123"/>
    <mergeCell ref="A124:D124"/>
    <mergeCell ref="I124:J124"/>
    <mergeCell ref="A119:D119"/>
    <mergeCell ref="I119:J119"/>
    <mergeCell ref="A120:D120"/>
    <mergeCell ref="I120:J120"/>
    <mergeCell ref="A121:D121"/>
    <mergeCell ref="I121:J121"/>
    <mergeCell ref="A116:D116"/>
    <mergeCell ref="I116:J116"/>
    <mergeCell ref="A117:D117"/>
    <mergeCell ref="I117:J117"/>
    <mergeCell ref="A118:D118"/>
    <mergeCell ref="I118:J118"/>
    <mergeCell ref="A113:D113"/>
    <mergeCell ref="I113:J113"/>
    <mergeCell ref="A114:D114"/>
    <mergeCell ref="I114:J114"/>
    <mergeCell ref="A115:D115"/>
    <mergeCell ref="I115:J115"/>
    <mergeCell ref="A110:D110"/>
    <mergeCell ref="I110:J110"/>
    <mergeCell ref="A111:D111"/>
    <mergeCell ref="I111:J111"/>
    <mergeCell ref="A112:D112"/>
    <mergeCell ref="I112:J112"/>
    <mergeCell ref="A107:D107"/>
    <mergeCell ref="I107:J107"/>
    <mergeCell ref="A108:D108"/>
    <mergeCell ref="I108:J108"/>
    <mergeCell ref="A109:D109"/>
    <mergeCell ref="I109:J109"/>
    <mergeCell ref="A103:D103"/>
    <mergeCell ref="I103:J103"/>
    <mergeCell ref="A104:D104"/>
    <mergeCell ref="I104:J104"/>
    <mergeCell ref="A106:D106"/>
    <mergeCell ref="I106:J106"/>
    <mergeCell ref="A100:D100"/>
    <mergeCell ref="I100:J100"/>
    <mergeCell ref="A101:D101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10:D10"/>
    <mergeCell ref="I10:J10"/>
    <mergeCell ref="A11:D11"/>
    <mergeCell ref="I11:J11"/>
    <mergeCell ref="A12:D12"/>
    <mergeCell ref="I12:J12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B8FA9-494F-4535-B4F9-9BC103B764A1}">
  <sheetPr codeName="Sheet8">
    <outlinePr summaryBelow="0" summaryRight="0"/>
    <pageSetUpPr autoPageBreaks="0"/>
  </sheetPr>
  <dimension ref="A1:AV138"/>
  <sheetViews>
    <sheetView tabSelected="1" topLeftCell="G1" workbookViewId="0">
      <pane ySplit="2" topLeftCell="A3" activePane="bottomLeft" state="frozenSplit"/>
      <selection pane="bottomLeft" activeCell="X3" sqref="X3:AG3"/>
    </sheetView>
  </sheetViews>
  <sheetFormatPr defaultColWidth="6.85546875" defaultRowHeight="12.75" customHeight="1" x14ac:dyDescent="0.2"/>
  <cols>
    <col min="1" max="1" width="19" style="12" customWidth="1"/>
    <col min="2" max="2" width="1.5703125" style="12" customWidth="1"/>
    <col min="3" max="3" width="4.5703125" style="12" customWidth="1"/>
    <col min="4" max="4" width="3.42578125" style="12" customWidth="1"/>
    <col min="5" max="5" width="10.7109375" style="12" customWidth="1"/>
    <col min="6" max="6" width="8.140625" style="12" bestFit="1" customWidth="1"/>
    <col min="7" max="7" width="6.7109375" style="12" customWidth="1"/>
    <col min="8" max="8" width="16" style="12" bestFit="1" customWidth="1"/>
    <col min="9" max="9" width="16.7109375" style="12" customWidth="1"/>
    <col min="10" max="10" width="18.28515625" style="12" customWidth="1"/>
    <col min="11" max="12" width="3.7109375" style="12" customWidth="1"/>
    <col min="13" max="13" width="8.7109375" style="12" customWidth="1"/>
    <col min="14" max="14" width="2.7109375" style="12" customWidth="1"/>
    <col min="15" max="15" width="18.7109375" style="2" hidden="1" customWidth="1"/>
    <col min="16" max="16" width="20.7109375" style="4" hidden="1" customWidth="1"/>
    <col min="17" max="17" width="12.7109375" style="4" hidden="1" customWidth="1"/>
    <col min="18" max="18" width="10.7109375" style="4" hidden="1" customWidth="1"/>
    <col min="19" max="19" width="16.7109375" style="4" hidden="1" customWidth="1"/>
    <col min="20" max="20" width="25.7109375" style="5" hidden="1" customWidth="1"/>
    <col min="21" max="22" width="15.7109375" style="4" hidden="1" customWidth="1"/>
    <col min="23" max="23" width="20.7109375" style="4" hidden="1" customWidth="1"/>
    <col min="24" max="24" width="18.7109375" style="2" customWidth="1"/>
    <col min="25" max="27" width="20.7109375" style="4" customWidth="1"/>
    <col min="28" max="28" width="16.7109375" style="4" customWidth="1"/>
    <col min="29" max="29" width="25.7109375" style="5" customWidth="1"/>
    <col min="30" max="30" width="20.7109375" style="4" customWidth="1"/>
    <col min="31" max="31" width="2.7109375" style="4" customWidth="1"/>
    <col min="32" max="32" width="20.7109375" style="4" customWidth="1"/>
    <col min="33" max="33" width="15.7109375" style="4" customWidth="1"/>
    <col min="34" max="40" width="6.85546875" style="3"/>
    <col min="41" max="41" width="18.7109375" style="2" hidden="1" customWidth="1"/>
    <col min="42" max="42" width="20.7109375" style="4" hidden="1" customWidth="1"/>
    <col min="43" max="43" width="12.7109375" style="4" hidden="1" customWidth="1"/>
    <col min="44" max="44" width="10.7109375" style="4" hidden="1" customWidth="1"/>
    <col min="45" max="45" width="16.7109375" style="4" hidden="1" customWidth="1"/>
    <col min="46" max="46" width="25.7109375" style="4" hidden="1" customWidth="1"/>
    <col min="47" max="47" width="15.7109375" style="4" hidden="1" customWidth="1"/>
    <col min="48" max="48" width="20.7109375" style="4" hidden="1" customWidth="1"/>
    <col min="49" max="16384" width="6.85546875" style="3"/>
  </cols>
  <sheetData>
    <row r="1" spans="1:48" s="12" customFormat="1" ht="6.75" customHeight="1" x14ac:dyDescent="0.2">
      <c r="O1" s="31"/>
      <c r="P1" s="32"/>
      <c r="Q1" s="32"/>
      <c r="R1" s="32"/>
      <c r="S1" s="32"/>
      <c r="T1" s="33"/>
      <c r="U1" s="32"/>
      <c r="V1" s="32"/>
      <c r="W1" s="32"/>
      <c r="X1" s="31"/>
      <c r="Y1" s="32"/>
      <c r="Z1" s="32"/>
      <c r="AA1" s="32"/>
      <c r="AB1" s="32"/>
      <c r="AC1" s="33"/>
      <c r="AD1" s="32"/>
      <c r="AE1" s="32"/>
      <c r="AF1" s="32"/>
      <c r="AG1" s="32"/>
      <c r="AO1" s="31"/>
      <c r="AP1" s="32"/>
      <c r="AQ1" s="32"/>
      <c r="AR1" s="32"/>
      <c r="AS1" s="32"/>
      <c r="AT1" s="32"/>
      <c r="AU1" s="32"/>
      <c r="AV1" s="32"/>
    </row>
    <row r="2" spans="1:48" s="12" customFormat="1" ht="24" customHeight="1" x14ac:dyDescent="0.2">
      <c r="D2" s="13" t="s">
        <v>0</v>
      </c>
      <c r="E2" s="13"/>
      <c r="F2" s="13"/>
      <c r="G2" s="13"/>
      <c r="H2" s="13"/>
      <c r="I2" s="14" t="s">
        <v>70</v>
      </c>
      <c r="J2" s="14"/>
      <c r="K2" s="14"/>
      <c r="L2" s="14"/>
      <c r="O2" s="54" t="str">
        <f ca="1">"Outbound: "&amp;SUMPRODUCT(SUBTOTAL(103,OFFSET($E$6,ROW($E$6:$E$135)-ROW($E$6),0,1)),--($U$6:$U$135="OK"),--($E$6:$E$135&lt;&gt;""))&amp;"/"&amp;SUMPRODUCT(SUBTOTAL(103,OFFSET($E$6,ROW($E$6:$E$135)-ROW($E$6),0,1)),--($E$6:$E$135&lt;&gt;""))&amp;" • "&amp;TEXT(IFERROR(SUMPRODUCT(SUBTOTAL(103,OFFSET($E$6,ROW($E$6:$E$135)-ROW($E$6),0,1)),--((($V$6:$V$135="On-Time")+($V$6:$V$135="Early"))&gt;0),--($E$6:$E$135&lt;&gt;""))/SUMPRODUCT(SUBTOTAL(103,OFFSET($E$6,ROW($E$6:$E$135)-ROW($E$6),0,1)),--($E$6:$E$135&lt;&gt;"")),0),"0.0%")&amp;" On Time"</f>
        <v>Outbound: 0/10 • 0.0% On Time</v>
      </c>
      <c r="P2" s="54"/>
      <c r="Q2" s="54"/>
      <c r="R2" s="54"/>
      <c r="S2" s="54"/>
      <c r="T2" s="54"/>
      <c r="U2" s="54"/>
      <c r="V2" s="54"/>
      <c r="W2" s="54"/>
      <c r="X2" s="55" t="str">
        <f ca="1">"Inbound: "&amp;SUMPRODUCT(SUBTOTAL(103,OFFSET($E$6,ROW($E$6:$E$135)-ROW($E$6),0,1)),--($AD$6:$AD$135="Received"),--($E$6:$E$135&lt;&gt;""))&amp;"/"&amp;SUMPRODUCT(SUBTOTAL(103,OFFSET($E$6,ROW($E$6:$E$135)-ROW($E$6),0,1)),--($E$6:$E$135&lt;&gt;""))&amp;" • "&amp;TEXT(IFERROR(SUMPRODUCT(SUBTOTAL(103,OFFSET($E$6,ROW($E$6:$E$135)-ROW($E$6),0,1)),--($AD$6:$AD$135="Received"),--($E$6:$E$135&lt;&gt;""))/SUMPRODUCT(SUBTOTAL(103,OFFSET($E$6,ROW($E$6:$E$135)-ROW($E$6),0,1)),--($E$6:$E$135&lt;&gt;"")),0),"0.0%")&amp;" Complete"</f>
        <v>Inbound: 0/10 • 0.0% Complete</v>
      </c>
      <c r="Y2" s="55"/>
      <c r="Z2" s="55"/>
      <c r="AA2" s="55"/>
      <c r="AB2" s="55"/>
      <c r="AC2" s="55"/>
      <c r="AD2" s="55"/>
      <c r="AE2" s="55"/>
      <c r="AF2" s="55"/>
      <c r="AG2" s="55"/>
      <c r="AO2" s="56" t="str">
        <f ca="1">"Staged: "&amp;SUMPRODUCT(SUBTOTAL(103,OFFSET($E$6,ROW($E$6:$E$135)-ROW($E$6),0,1)),--($AU$6:$AU$135="OK"),--($E$6:$E$135&lt;&gt;""))&amp;"/"&amp;SUMPRODUCT(SUBTOTAL(103,OFFSET($E$6,ROW($E$6:$E$135)-ROW($E$6),0,1)),--($E$6:$E$135&lt;&gt;""))&amp;" • "&amp;TEXT(IFERROR(SUMPRODUCT(SUBTOTAL(103,OFFSET($E$6,ROW($E$6:$E$135)-ROW($E$6),0,1)),--($AU$6:$AU$135="OK"),--($E$6:$E$135&lt;&gt;""))/SUMPRODUCT(SUBTOTAL(103,OFFSET($E$6,ROW($E$6:$E$135)-ROW($E$6),0,1)),--($E$6:$E$135&lt;&gt;"")),0),"0.0%")&amp;" Complete"</f>
        <v>Staged: 9/10 • 90.0% Complete</v>
      </c>
      <c r="AP2" s="56"/>
      <c r="AQ2" s="56"/>
      <c r="AR2" s="56"/>
      <c r="AS2" s="56"/>
      <c r="AT2" s="56"/>
      <c r="AU2" s="56"/>
      <c r="AV2" s="56"/>
    </row>
    <row r="3" spans="1:48" ht="85.5" customHeight="1" x14ac:dyDescent="0.2">
      <c r="O3" s="9" t="s">
        <v>36</v>
      </c>
      <c r="P3" s="10"/>
      <c r="Q3" s="10"/>
      <c r="R3" s="10"/>
      <c r="S3" s="10"/>
      <c r="T3" s="10"/>
      <c r="U3" s="10"/>
      <c r="V3" s="10"/>
      <c r="W3" s="10"/>
      <c r="X3" s="9" t="s">
        <v>63</v>
      </c>
      <c r="Y3" s="10"/>
      <c r="Z3" s="10"/>
      <c r="AA3" s="10"/>
      <c r="AB3" s="10"/>
      <c r="AC3" s="10"/>
      <c r="AD3" s="10"/>
      <c r="AE3" s="10"/>
      <c r="AF3" s="10"/>
      <c r="AG3" s="10"/>
      <c r="AO3" s="9" t="s">
        <v>37</v>
      </c>
      <c r="AP3" s="10"/>
      <c r="AQ3" s="10"/>
      <c r="AR3" s="10"/>
      <c r="AS3" s="10"/>
      <c r="AT3" s="10"/>
      <c r="AU3" s="10"/>
      <c r="AV3" s="10"/>
    </row>
    <row r="4" spans="1:48" ht="20.100000000000001" customHeight="1" x14ac:dyDescent="0.2">
      <c r="O4" s="6" t="s">
        <v>9</v>
      </c>
      <c r="P4" s="11"/>
      <c r="X4" s="6" t="s">
        <v>9</v>
      </c>
      <c r="Y4" s="11"/>
      <c r="AO4" s="6" t="s">
        <v>9</v>
      </c>
      <c r="AP4" s="11"/>
      <c r="AT4" s="5"/>
    </row>
    <row r="5" spans="1:48" ht="15" customHeight="1" x14ac:dyDescent="0.2">
      <c r="A5" s="15" t="s">
        <v>1</v>
      </c>
      <c r="B5" s="15"/>
      <c r="C5" s="15"/>
      <c r="D5" s="15"/>
      <c r="E5" s="16" t="s">
        <v>2</v>
      </c>
      <c r="F5" s="17" t="s">
        <v>3</v>
      </c>
      <c r="G5" s="17" t="s">
        <v>4</v>
      </c>
      <c r="H5" s="16" t="s">
        <v>5</v>
      </c>
      <c r="I5" s="15" t="s">
        <v>6</v>
      </c>
      <c r="J5" s="15"/>
      <c r="L5" s="18" t="s">
        <v>64</v>
      </c>
      <c r="M5" s="18"/>
      <c r="P5" s="7" t="s">
        <v>10</v>
      </c>
      <c r="Q5" s="7" t="s">
        <v>2</v>
      </c>
      <c r="R5" s="7" t="s">
        <v>3</v>
      </c>
      <c r="S5" s="7" t="s">
        <v>11</v>
      </c>
      <c r="T5" s="8" t="s">
        <v>12</v>
      </c>
      <c r="U5" s="7" t="s">
        <v>13</v>
      </c>
      <c r="V5" s="7" t="s">
        <v>14</v>
      </c>
      <c r="W5" s="7" t="s">
        <v>15</v>
      </c>
      <c r="Y5" s="7" t="s">
        <v>16</v>
      </c>
      <c r="Z5" s="7" t="s">
        <v>17</v>
      </c>
      <c r="AA5" s="7" t="s">
        <v>18</v>
      </c>
      <c r="AB5" s="7" t="s">
        <v>19</v>
      </c>
      <c r="AC5" s="8" t="s">
        <v>20</v>
      </c>
      <c r="AD5" s="7" t="s">
        <v>21</v>
      </c>
      <c r="AE5" s="7"/>
      <c r="AF5" s="7" t="s">
        <v>15</v>
      </c>
      <c r="AG5" s="7" t="s">
        <v>22</v>
      </c>
      <c r="AP5" s="7" t="s">
        <v>10</v>
      </c>
      <c r="AQ5" s="7" t="s">
        <v>2</v>
      </c>
      <c r="AR5" s="7" t="s">
        <v>3</v>
      </c>
      <c r="AS5" s="7" t="s">
        <v>11</v>
      </c>
      <c r="AT5" s="7" t="s">
        <v>12</v>
      </c>
      <c r="AU5" s="7" t="s">
        <v>13</v>
      </c>
      <c r="AV5" s="7" t="s">
        <v>15</v>
      </c>
    </row>
    <row r="6" spans="1:48" ht="8.25" hidden="1" customHeight="1" x14ac:dyDescent="0.2"/>
    <row r="7" spans="1:48" ht="13.5" hidden="1" customHeight="1" x14ac:dyDescent="0.2">
      <c r="A7" s="19" t="s">
        <v>7</v>
      </c>
    </row>
    <row r="8" spans="1:48" ht="13.5" hidden="1" customHeight="1" x14ac:dyDescent="0.2">
      <c r="A8" s="20" t="s">
        <v>71</v>
      </c>
      <c r="B8" s="20"/>
      <c r="C8" s="20"/>
      <c r="D8" s="20"/>
      <c r="E8" s="21">
        <v>231377</v>
      </c>
      <c r="F8" s="22">
        <v>1</v>
      </c>
      <c r="G8" s="22">
        <v>1</v>
      </c>
      <c r="H8" s="23" t="s">
        <v>72</v>
      </c>
      <c r="I8" s="20" t="s">
        <v>73</v>
      </c>
      <c r="J8" s="20"/>
    </row>
    <row r="9" spans="1:48" ht="13.5" hidden="1" customHeight="1" x14ac:dyDescent="0.2">
      <c r="A9" s="20" t="s">
        <v>71</v>
      </c>
      <c r="B9" s="20"/>
      <c r="C9" s="20"/>
      <c r="D9" s="20"/>
      <c r="E9" s="21">
        <v>231377</v>
      </c>
      <c r="F9" s="22">
        <v>2</v>
      </c>
      <c r="G9" s="22">
        <v>1</v>
      </c>
      <c r="H9" s="23" t="s">
        <v>74</v>
      </c>
      <c r="I9" s="20" t="s">
        <v>73</v>
      </c>
      <c r="J9" s="20"/>
    </row>
    <row r="10" spans="1:48" ht="13.5" hidden="1" customHeight="1" x14ac:dyDescent="0.2">
      <c r="A10" s="20" t="s">
        <v>75</v>
      </c>
      <c r="B10" s="20"/>
      <c r="C10" s="20"/>
      <c r="D10" s="20"/>
      <c r="E10" s="21">
        <v>231378</v>
      </c>
      <c r="F10" s="22">
        <v>1</v>
      </c>
      <c r="G10" s="22">
        <v>2</v>
      </c>
      <c r="H10" s="23" t="s">
        <v>72</v>
      </c>
      <c r="I10" s="20" t="s">
        <v>73</v>
      </c>
      <c r="J10" s="20"/>
    </row>
    <row r="11" spans="1:48" ht="13.5" hidden="1" customHeight="1" x14ac:dyDescent="0.2">
      <c r="A11" s="20" t="s">
        <v>75</v>
      </c>
      <c r="B11" s="20"/>
      <c r="C11" s="20"/>
      <c r="D11" s="20"/>
      <c r="E11" s="21">
        <v>231378</v>
      </c>
      <c r="F11" s="22">
        <v>2</v>
      </c>
      <c r="G11" s="22">
        <v>1</v>
      </c>
      <c r="H11" s="23" t="s">
        <v>74</v>
      </c>
      <c r="I11" s="20" t="s">
        <v>73</v>
      </c>
      <c r="J11" s="20"/>
    </row>
    <row r="12" spans="1:48" ht="13.5" hidden="1" customHeight="1" x14ac:dyDescent="0.2">
      <c r="A12" s="20" t="s">
        <v>76</v>
      </c>
      <c r="B12" s="20"/>
      <c r="C12" s="20"/>
      <c r="D12" s="20"/>
      <c r="E12" s="21">
        <v>231380</v>
      </c>
      <c r="F12" s="22">
        <v>1</v>
      </c>
      <c r="G12" s="22">
        <v>1</v>
      </c>
      <c r="H12" s="23" t="s">
        <v>51</v>
      </c>
      <c r="I12" s="20" t="s">
        <v>52</v>
      </c>
      <c r="J12" s="20"/>
    </row>
    <row r="13" spans="1:48" ht="13.5" hidden="1" customHeight="1" x14ac:dyDescent="0.2">
      <c r="A13" s="20" t="s">
        <v>76</v>
      </c>
      <c r="B13" s="20"/>
      <c r="C13" s="20"/>
      <c r="D13" s="20"/>
      <c r="E13" s="21">
        <v>231380</v>
      </c>
      <c r="F13" s="22">
        <v>2</v>
      </c>
      <c r="G13" s="22">
        <v>1</v>
      </c>
      <c r="H13" s="23" t="s">
        <v>77</v>
      </c>
      <c r="I13" s="20" t="s">
        <v>52</v>
      </c>
      <c r="J13" s="20"/>
    </row>
    <row r="14" spans="1:48" ht="13.5" hidden="1" customHeight="1" x14ac:dyDescent="0.2">
      <c r="A14" s="20" t="s">
        <v>76</v>
      </c>
      <c r="B14" s="20"/>
      <c r="C14" s="20"/>
      <c r="D14" s="20"/>
      <c r="E14" s="21">
        <v>231380</v>
      </c>
      <c r="F14" s="22">
        <v>3</v>
      </c>
      <c r="G14" s="22">
        <v>1</v>
      </c>
      <c r="H14" s="23" t="s">
        <v>78</v>
      </c>
      <c r="I14" s="20" t="s">
        <v>52</v>
      </c>
      <c r="J14" s="20"/>
    </row>
    <row r="15" spans="1:48" ht="13.5" hidden="1" customHeight="1" x14ac:dyDescent="0.2">
      <c r="A15" s="20" t="s">
        <v>76</v>
      </c>
      <c r="B15" s="20"/>
      <c r="C15" s="20"/>
      <c r="D15" s="20"/>
      <c r="E15" s="21">
        <v>231380</v>
      </c>
      <c r="F15" s="22">
        <v>4</v>
      </c>
      <c r="G15" s="22">
        <v>1</v>
      </c>
      <c r="H15" s="23" t="s">
        <v>79</v>
      </c>
      <c r="I15" s="20" t="s">
        <v>52</v>
      </c>
      <c r="J15" s="20"/>
    </row>
    <row r="16" spans="1:48" ht="13.5" hidden="1" customHeight="1" x14ac:dyDescent="0.2">
      <c r="A16" s="20" t="s">
        <v>76</v>
      </c>
      <c r="B16" s="20"/>
      <c r="C16" s="20"/>
      <c r="D16" s="20"/>
      <c r="E16" s="21">
        <v>231380</v>
      </c>
      <c r="F16" s="22">
        <v>5</v>
      </c>
      <c r="G16" s="22">
        <v>1</v>
      </c>
      <c r="H16" s="23" t="s">
        <v>50</v>
      </c>
      <c r="I16" s="20" t="s">
        <v>52</v>
      </c>
      <c r="J16" s="20"/>
    </row>
    <row r="17" spans="1:10" ht="13.5" hidden="1" customHeight="1" x14ac:dyDescent="0.2">
      <c r="A17" s="20" t="s">
        <v>80</v>
      </c>
      <c r="B17" s="20"/>
      <c r="C17" s="20"/>
      <c r="D17" s="20"/>
      <c r="E17" s="21">
        <v>231381</v>
      </c>
      <c r="F17" s="22">
        <v>1</v>
      </c>
      <c r="G17" s="22">
        <v>1</v>
      </c>
      <c r="H17" s="23" t="s">
        <v>48</v>
      </c>
      <c r="I17" s="20" t="s">
        <v>81</v>
      </c>
      <c r="J17" s="20"/>
    </row>
    <row r="18" spans="1:10" ht="13.5" hidden="1" customHeight="1" x14ac:dyDescent="0.2">
      <c r="A18" s="20" t="s">
        <v>80</v>
      </c>
      <c r="B18" s="20"/>
      <c r="C18" s="20"/>
      <c r="D18" s="20"/>
      <c r="E18" s="21">
        <v>231381</v>
      </c>
      <c r="F18" s="22">
        <v>2</v>
      </c>
      <c r="G18" s="22">
        <v>1</v>
      </c>
      <c r="H18" s="23" t="s">
        <v>82</v>
      </c>
      <c r="I18" s="20" t="s">
        <v>81</v>
      </c>
      <c r="J18" s="20"/>
    </row>
    <row r="19" spans="1:10" ht="13.5" hidden="1" customHeight="1" x14ac:dyDescent="0.2">
      <c r="A19" s="20" t="s">
        <v>80</v>
      </c>
      <c r="B19" s="20"/>
      <c r="C19" s="20"/>
      <c r="D19" s="20"/>
      <c r="E19" s="21">
        <v>231381</v>
      </c>
      <c r="F19" s="22">
        <v>3</v>
      </c>
      <c r="G19" s="22">
        <v>1</v>
      </c>
      <c r="H19" s="23" t="s">
        <v>83</v>
      </c>
      <c r="I19" s="20" t="s">
        <v>81</v>
      </c>
      <c r="J19" s="20"/>
    </row>
    <row r="20" spans="1:10" ht="13.5" hidden="1" customHeight="1" x14ac:dyDescent="0.2">
      <c r="A20" s="20" t="s">
        <v>80</v>
      </c>
      <c r="B20" s="20"/>
      <c r="C20" s="20"/>
      <c r="D20" s="20"/>
      <c r="E20" s="21">
        <v>231381</v>
      </c>
      <c r="F20" s="22">
        <v>4</v>
      </c>
      <c r="G20" s="22">
        <v>2</v>
      </c>
      <c r="H20" s="23" t="s">
        <v>84</v>
      </c>
      <c r="I20" s="20" t="s">
        <v>81</v>
      </c>
      <c r="J20" s="20"/>
    </row>
    <row r="21" spans="1:10" ht="13.5" hidden="1" customHeight="1" x14ac:dyDescent="0.2">
      <c r="A21" s="20" t="s">
        <v>85</v>
      </c>
      <c r="B21" s="20"/>
      <c r="C21" s="20"/>
      <c r="D21" s="20"/>
      <c r="E21" s="21">
        <v>231382</v>
      </c>
      <c r="F21" s="22">
        <v>1</v>
      </c>
      <c r="G21" s="22">
        <v>1</v>
      </c>
      <c r="H21" s="23" t="s">
        <v>86</v>
      </c>
      <c r="I21" s="20" t="s">
        <v>87</v>
      </c>
      <c r="J21" s="20"/>
    </row>
    <row r="22" spans="1:10" ht="13.5" hidden="1" customHeight="1" x14ac:dyDescent="0.2">
      <c r="A22" s="20" t="s">
        <v>85</v>
      </c>
      <c r="B22" s="20"/>
      <c r="C22" s="20"/>
      <c r="D22" s="20"/>
      <c r="E22" s="21">
        <v>231382</v>
      </c>
      <c r="F22" s="22">
        <v>2</v>
      </c>
      <c r="G22" s="22">
        <v>1</v>
      </c>
      <c r="H22" s="23" t="s">
        <v>88</v>
      </c>
      <c r="I22" s="20" t="s">
        <v>87</v>
      </c>
      <c r="J22" s="20"/>
    </row>
    <row r="23" spans="1:10" ht="13.5" hidden="1" customHeight="1" x14ac:dyDescent="0.2">
      <c r="A23" s="20" t="s">
        <v>85</v>
      </c>
      <c r="B23" s="20"/>
      <c r="C23" s="20"/>
      <c r="D23" s="20"/>
      <c r="E23" s="21">
        <v>231382</v>
      </c>
      <c r="F23" s="22">
        <v>3</v>
      </c>
      <c r="G23" s="22">
        <v>1</v>
      </c>
      <c r="H23" s="23" t="s">
        <v>89</v>
      </c>
      <c r="I23" s="20" t="s">
        <v>87</v>
      </c>
      <c r="J23" s="20"/>
    </row>
    <row r="24" spans="1:10" ht="13.5" hidden="1" customHeight="1" x14ac:dyDescent="0.2">
      <c r="A24" s="20" t="s">
        <v>71</v>
      </c>
      <c r="B24" s="20"/>
      <c r="C24" s="20"/>
      <c r="D24" s="20"/>
      <c r="E24" s="21">
        <v>231397</v>
      </c>
      <c r="F24" s="22">
        <v>1</v>
      </c>
      <c r="G24" s="22">
        <v>1</v>
      </c>
      <c r="H24" s="23" t="s">
        <v>72</v>
      </c>
      <c r="I24" s="20" t="s">
        <v>73</v>
      </c>
      <c r="J24" s="20"/>
    </row>
    <row r="25" spans="1:10" ht="13.5" hidden="1" customHeight="1" x14ac:dyDescent="0.2">
      <c r="A25" s="20" t="s">
        <v>71</v>
      </c>
      <c r="B25" s="20"/>
      <c r="C25" s="20"/>
      <c r="D25" s="20"/>
      <c r="E25" s="21">
        <v>231397</v>
      </c>
      <c r="F25" s="22">
        <v>2</v>
      </c>
      <c r="G25" s="22">
        <v>1</v>
      </c>
      <c r="H25" s="23" t="s">
        <v>74</v>
      </c>
      <c r="I25" s="20" t="s">
        <v>73</v>
      </c>
      <c r="J25" s="20"/>
    </row>
    <row r="26" spans="1:10" ht="13.5" hidden="1" customHeight="1" x14ac:dyDescent="0.2">
      <c r="A26" s="20" t="s">
        <v>75</v>
      </c>
      <c r="B26" s="20"/>
      <c r="C26" s="20"/>
      <c r="D26" s="20"/>
      <c r="E26" s="21">
        <v>231398</v>
      </c>
      <c r="F26" s="22">
        <v>1</v>
      </c>
      <c r="G26" s="22">
        <v>2</v>
      </c>
      <c r="H26" s="23" t="s">
        <v>72</v>
      </c>
      <c r="I26" s="20" t="s">
        <v>73</v>
      </c>
      <c r="J26" s="20"/>
    </row>
    <row r="27" spans="1:10" ht="13.5" hidden="1" customHeight="1" x14ac:dyDescent="0.2">
      <c r="A27" s="20" t="s">
        <v>75</v>
      </c>
      <c r="B27" s="20"/>
      <c r="C27" s="20"/>
      <c r="D27" s="20"/>
      <c r="E27" s="21">
        <v>231398</v>
      </c>
      <c r="F27" s="22">
        <v>2</v>
      </c>
      <c r="G27" s="22">
        <v>1</v>
      </c>
      <c r="H27" s="23" t="s">
        <v>74</v>
      </c>
      <c r="I27" s="20" t="s">
        <v>73</v>
      </c>
      <c r="J27" s="20"/>
    </row>
    <row r="28" spans="1:10" ht="13.5" hidden="1" customHeight="1" x14ac:dyDescent="0.2">
      <c r="A28" s="20" t="s">
        <v>76</v>
      </c>
      <c r="B28" s="20"/>
      <c r="C28" s="20"/>
      <c r="D28" s="20"/>
      <c r="E28" s="21">
        <v>231399</v>
      </c>
      <c r="F28" s="22">
        <v>1</v>
      </c>
      <c r="G28" s="22">
        <v>1</v>
      </c>
      <c r="H28" s="23" t="s">
        <v>51</v>
      </c>
      <c r="I28" s="20" t="s">
        <v>52</v>
      </c>
      <c r="J28" s="20"/>
    </row>
    <row r="29" spans="1:10" ht="13.5" hidden="1" customHeight="1" x14ac:dyDescent="0.2">
      <c r="A29" s="20" t="s">
        <v>76</v>
      </c>
      <c r="B29" s="20"/>
      <c r="C29" s="20"/>
      <c r="D29" s="20"/>
      <c r="E29" s="21">
        <v>231399</v>
      </c>
      <c r="F29" s="22">
        <v>2</v>
      </c>
      <c r="G29" s="22">
        <v>1</v>
      </c>
      <c r="H29" s="23" t="s">
        <v>77</v>
      </c>
      <c r="I29" s="20" t="s">
        <v>52</v>
      </c>
      <c r="J29" s="20"/>
    </row>
    <row r="30" spans="1:10" ht="13.5" hidden="1" customHeight="1" x14ac:dyDescent="0.2">
      <c r="A30" s="20" t="s">
        <v>76</v>
      </c>
      <c r="B30" s="20"/>
      <c r="C30" s="20"/>
      <c r="D30" s="20"/>
      <c r="E30" s="21">
        <v>231399</v>
      </c>
      <c r="F30" s="22">
        <v>3</v>
      </c>
      <c r="G30" s="22">
        <v>1</v>
      </c>
      <c r="H30" s="23" t="s">
        <v>78</v>
      </c>
      <c r="I30" s="20" t="s">
        <v>52</v>
      </c>
      <c r="J30" s="20"/>
    </row>
    <row r="31" spans="1:10" ht="13.5" hidden="1" customHeight="1" x14ac:dyDescent="0.2">
      <c r="A31" s="20" t="s">
        <v>76</v>
      </c>
      <c r="B31" s="20"/>
      <c r="C31" s="20"/>
      <c r="D31" s="20"/>
      <c r="E31" s="21">
        <v>231399</v>
      </c>
      <c r="F31" s="22">
        <v>4</v>
      </c>
      <c r="G31" s="22">
        <v>1</v>
      </c>
      <c r="H31" s="23" t="s">
        <v>79</v>
      </c>
      <c r="I31" s="20" t="s">
        <v>52</v>
      </c>
      <c r="J31" s="20"/>
    </row>
    <row r="32" spans="1:10" ht="13.5" hidden="1" customHeight="1" x14ac:dyDescent="0.2">
      <c r="A32" s="20" t="s">
        <v>76</v>
      </c>
      <c r="B32" s="20"/>
      <c r="C32" s="20"/>
      <c r="D32" s="20"/>
      <c r="E32" s="21">
        <v>231399</v>
      </c>
      <c r="F32" s="22">
        <v>5</v>
      </c>
      <c r="G32" s="22">
        <v>1</v>
      </c>
      <c r="H32" s="23" t="s">
        <v>50</v>
      </c>
      <c r="I32" s="20" t="s">
        <v>52</v>
      </c>
      <c r="J32" s="20"/>
    </row>
    <row r="33" spans="1:10" ht="13.5" hidden="1" customHeight="1" x14ac:dyDescent="0.2">
      <c r="A33" s="20" t="s">
        <v>80</v>
      </c>
      <c r="B33" s="20"/>
      <c r="C33" s="20"/>
      <c r="D33" s="20"/>
      <c r="E33" s="21">
        <v>231400</v>
      </c>
      <c r="F33" s="22">
        <v>1</v>
      </c>
      <c r="G33" s="22">
        <v>1</v>
      </c>
      <c r="H33" s="23" t="s">
        <v>48</v>
      </c>
      <c r="I33" s="20" t="s">
        <v>81</v>
      </c>
      <c r="J33" s="20"/>
    </row>
    <row r="34" spans="1:10" ht="13.5" hidden="1" customHeight="1" x14ac:dyDescent="0.2">
      <c r="A34" s="20" t="s">
        <v>80</v>
      </c>
      <c r="B34" s="20"/>
      <c r="C34" s="20"/>
      <c r="D34" s="20"/>
      <c r="E34" s="21">
        <v>231400</v>
      </c>
      <c r="F34" s="22">
        <v>2</v>
      </c>
      <c r="G34" s="22">
        <v>1</v>
      </c>
      <c r="H34" s="23" t="s">
        <v>82</v>
      </c>
      <c r="I34" s="20" t="s">
        <v>81</v>
      </c>
      <c r="J34" s="20"/>
    </row>
    <row r="35" spans="1:10" ht="13.5" hidden="1" customHeight="1" x14ac:dyDescent="0.2">
      <c r="A35" s="20" t="s">
        <v>80</v>
      </c>
      <c r="B35" s="20"/>
      <c r="C35" s="20"/>
      <c r="D35" s="20"/>
      <c r="E35" s="21">
        <v>231400</v>
      </c>
      <c r="F35" s="22">
        <v>3</v>
      </c>
      <c r="G35" s="22">
        <v>1</v>
      </c>
      <c r="H35" s="23" t="s">
        <v>83</v>
      </c>
      <c r="I35" s="20" t="s">
        <v>81</v>
      </c>
      <c r="J35" s="20"/>
    </row>
    <row r="36" spans="1:10" ht="13.5" hidden="1" customHeight="1" x14ac:dyDescent="0.2">
      <c r="A36" s="20" t="s">
        <v>80</v>
      </c>
      <c r="B36" s="20"/>
      <c r="C36" s="20"/>
      <c r="D36" s="20"/>
      <c r="E36" s="21">
        <v>231400</v>
      </c>
      <c r="F36" s="22">
        <v>4</v>
      </c>
      <c r="G36" s="22">
        <v>2</v>
      </c>
      <c r="H36" s="23" t="s">
        <v>84</v>
      </c>
      <c r="I36" s="20" t="s">
        <v>81</v>
      </c>
      <c r="J36" s="20"/>
    </row>
    <row r="37" spans="1:10" ht="13.5" hidden="1" customHeight="1" x14ac:dyDescent="0.2">
      <c r="A37" s="20" t="s">
        <v>85</v>
      </c>
      <c r="B37" s="20"/>
      <c r="C37" s="20"/>
      <c r="D37" s="20"/>
      <c r="E37" s="21">
        <v>231401</v>
      </c>
      <c r="F37" s="22">
        <v>1</v>
      </c>
      <c r="G37" s="22">
        <v>1</v>
      </c>
      <c r="H37" s="23" t="s">
        <v>86</v>
      </c>
      <c r="I37" s="20" t="s">
        <v>87</v>
      </c>
      <c r="J37" s="20"/>
    </row>
    <row r="38" spans="1:10" ht="13.5" hidden="1" customHeight="1" x14ac:dyDescent="0.2">
      <c r="A38" s="20" t="s">
        <v>85</v>
      </c>
      <c r="B38" s="20"/>
      <c r="C38" s="20"/>
      <c r="D38" s="20"/>
      <c r="E38" s="21">
        <v>231401</v>
      </c>
      <c r="F38" s="22">
        <v>2</v>
      </c>
      <c r="G38" s="22">
        <v>1</v>
      </c>
      <c r="H38" s="23" t="s">
        <v>88</v>
      </c>
      <c r="I38" s="20" t="s">
        <v>87</v>
      </c>
      <c r="J38" s="20"/>
    </row>
    <row r="39" spans="1:10" ht="13.5" hidden="1" customHeight="1" x14ac:dyDescent="0.2">
      <c r="A39" s="20" t="s">
        <v>85</v>
      </c>
      <c r="B39" s="20"/>
      <c r="C39" s="20"/>
      <c r="D39" s="20"/>
      <c r="E39" s="21">
        <v>231401</v>
      </c>
      <c r="F39" s="22">
        <v>3</v>
      </c>
      <c r="G39" s="22">
        <v>1</v>
      </c>
      <c r="H39" s="23" t="s">
        <v>89</v>
      </c>
      <c r="I39" s="20" t="s">
        <v>87</v>
      </c>
      <c r="J39" s="20"/>
    </row>
    <row r="40" spans="1:10" ht="13.5" hidden="1" customHeight="1" x14ac:dyDescent="0.2">
      <c r="A40" s="20" t="s">
        <v>90</v>
      </c>
      <c r="B40" s="20"/>
      <c r="C40" s="20"/>
      <c r="D40" s="20"/>
      <c r="E40" s="21">
        <v>231491</v>
      </c>
      <c r="F40" s="22">
        <v>1</v>
      </c>
      <c r="G40" s="22">
        <v>1</v>
      </c>
      <c r="H40" s="23" t="s">
        <v>91</v>
      </c>
      <c r="I40" s="20" t="s">
        <v>65</v>
      </c>
      <c r="J40" s="20"/>
    </row>
    <row r="41" spans="1:10" ht="13.5" hidden="1" customHeight="1" x14ac:dyDescent="0.2">
      <c r="A41" s="20" t="s">
        <v>90</v>
      </c>
      <c r="B41" s="20"/>
      <c r="C41" s="20"/>
      <c r="D41" s="20"/>
      <c r="E41" s="21">
        <v>231491</v>
      </c>
      <c r="F41" s="22">
        <v>2</v>
      </c>
      <c r="G41" s="22">
        <v>1</v>
      </c>
      <c r="H41" s="23" t="s">
        <v>92</v>
      </c>
      <c r="I41" s="20" t="s">
        <v>65</v>
      </c>
      <c r="J41" s="20"/>
    </row>
    <row r="42" spans="1:10" ht="13.5" hidden="1" customHeight="1" x14ac:dyDescent="0.2">
      <c r="A42" s="20" t="s">
        <v>93</v>
      </c>
      <c r="B42" s="20"/>
      <c r="C42" s="20"/>
      <c r="D42" s="20"/>
      <c r="E42" s="21">
        <v>231492</v>
      </c>
      <c r="F42" s="22">
        <v>1</v>
      </c>
      <c r="G42" s="22">
        <v>1</v>
      </c>
      <c r="H42" s="23" t="s">
        <v>94</v>
      </c>
      <c r="I42" s="20" t="s">
        <v>65</v>
      </c>
      <c r="J42" s="20"/>
    </row>
    <row r="43" spans="1:10" ht="13.5" hidden="1" customHeight="1" x14ac:dyDescent="0.2">
      <c r="A43" s="20" t="s">
        <v>93</v>
      </c>
      <c r="B43" s="20"/>
      <c r="C43" s="20"/>
      <c r="D43" s="20"/>
      <c r="E43" s="21">
        <v>231492</v>
      </c>
      <c r="F43" s="22">
        <v>2</v>
      </c>
      <c r="G43" s="22">
        <v>1</v>
      </c>
      <c r="H43" s="23" t="s">
        <v>95</v>
      </c>
      <c r="I43" s="20" t="s">
        <v>65</v>
      </c>
      <c r="J43" s="20"/>
    </row>
    <row r="44" spans="1:10" ht="13.5" hidden="1" customHeight="1" x14ac:dyDescent="0.2">
      <c r="A44" s="20" t="s">
        <v>96</v>
      </c>
      <c r="B44" s="20"/>
      <c r="C44" s="20"/>
      <c r="D44" s="20"/>
      <c r="E44" s="21">
        <v>231493</v>
      </c>
      <c r="F44" s="22">
        <v>1</v>
      </c>
      <c r="G44" s="22">
        <v>1</v>
      </c>
      <c r="H44" s="23" t="s">
        <v>97</v>
      </c>
      <c r="I44" s="20" t="s">
        <v>65</v>
      </c>
      <c r="J44" s="20"/>
    </row>
    <row r="45" spans="1:10" ht="13.5" hidden="1" customHeight="1" x14ac:dyDescent="0.2">
      <c r="A45" s="20" t="s">
        <v>96</v>
      </c>
      <c r="B45" s="20"/>
      <c r="C45" s="20"/>
      <c r="D45" s="20"/>
      <c r="E45" s="21">
        <v>231493</v>
      </c>
      <c r="F45" s="22">
        <v>2</v>
      </c>
      <c r="G45" s="22">
        <v>1</v>
      </c>
      <c r="H45" s="23" t="s">
        <v>98</v>
      </c>
      <c r="I45" s="20" t="s">
        <v>65</v>
      </c>
      <c r="J45" s="20"/>
    </row>
    <row r="46" spans="1:10" ht="13.5" hidden="1" customHeight="1" x14ac:dyDescent="0.2">
      <c r="A46" s="20" t="s">
        <v>96</v>
      </c>
      <c r="B46" s="20"/>
      <c r="C46" s="20"/>
      <c r="D46" s="20"/>
      <c r="E46" s="21">
        <v>231493</v>
      </c>
      <c r="F46" s="22">
        <v>3</v>
      </c>
      <c r="G46" s="22">
        <v>1</v>
      </c>
      <c r="H46" s="23" t="s">
        <v>99</v>
      </c>
      <c r="I46" s="20" t="s">
        <v>65</v>
      </c>
      <c r="J46" s="20"/>
    </row>
    <row r="47" spans="1:10" ht="13.5" hidden="1" customHeight="1" x14ac:dyDescent="0.2">
      <c r="A47" s="20" t="s">
        <v>96</v>
      </c>
      <c r="B47" s="20"/>
      <c r="C47" s="20"/>
      <c r="D47" s="20"/>
      <c r="E47" s="21">
        <v>231493</v>
      </c>
      <c r="F47" s="22">
        <v>4</v>
      </c>
      <c r="G47" s="22">
        <v>1</v>
      </c>
      <c r="H47" s="23" t="s">
        <v>100</v>
      </c>
      <c r="I47" s="20" t="s">
        <v>65</v>
      </c>
      <c r="J47" s="20"/>
    </row>
    <row r="48" spans="1:10" ht="13.5" hidden="1" customHeight="1" x14ac:dyDescent="0.2">
      <c r="A48" s="20" t="s">
        <v>96</v>
      </c>
      <c r="B48" s="20"/>
      <c r="C48" s="20"/>
      <c r="D48" s="20"/>
      <c r="E48" s="21">
        <v>231493</v>
      </c>
      <c r="F48" s="22">
        <v>5</v>
      </c>
      <c r="G48" s="22">
        <v>1</v>
      </c>
      <c r="H48" s="23" t="s">
        <v>101</v>
      </c>
      <c r="I48" s="20" t="s">
        <v>65</v>
      </c>
      <c r="J48" s="20"/>
    </row>
    <row r="49" spans="1:10" ht="13.5" hidden="1" customHeight="1" x14ac:dyDescent="0.2">
      <c r="A49" s="20" t="s">
        <v>96</v>
      </c>
      <c r="B49" s="20"/>
      <c r="C49" s="20"/>
      <c r="D49" s="20"/>
      <c r="E49" s="21">
        <v>231493</v>
      </c>
      <c r="F49" s="22">
        <v>6</v>
      </c>
      <c r="G49" s="22">
        <v>1</v>
      </c>
      <c r="H49" s="23" t="s">
        <v>102</v>
      </c>
      <c r="I49" s="20" t="s">
        <v>65</v>
      </c>
      <c r="J49" s="20"/>
    </row>
    <row r="50" spans="1:10" ht="13.5" hidden="1" customHeight="1" x14ac:dyDescent="0.2">
      <c r="A50" s="20" t="s">
        <v>103</v>
      </c>
      <c r="B50" s="20"/>
      <c r="C50" s="20"/>
      <c r="D50" s="20"/>
      <c r="E50" s="21">
        <v>231494</v>
      </c>
      <c r="F50" s="22">
        <v>1</v>
      </c>
      <c r="G50" s="22">
        <v>1</v>
      </c>
      <c r="H50" s="23" t="s">
        <v>104</v>
      </c>
      <c r="I50" s="20" t="s">
        <v>65</v>
      </c>
      <c r="J50" s="20"/>
    </row>
    <row r="51" spans="1:10" ht="13.5" hidden="1" customHeight="1" x14ac:dyDescent="0.2">
      <c r="A51" s="20" t="s">
        <v>103</v>
      </c>
      <c r="B51" s="20"/>
      <c r="C51" s="20"/>
      <c r="D51" s="20"/>
      <c r="E51" s="21">
        <v>231494</v>
      </c>
      <c r="F51" s="22">
        <v>2</v>
      </c>
      <c r="G51" s="22">
        <v>1</v>
      </c>
      <c r="H51" s="23" t="s">
        <v>105</v>
      </c>
      <c r="I51" s="20" t="s">
        <v>65</v>
      </c>
      <c r="J51" s="20"/>
    </row>
    <row r="52" spans="1:10" ht="13.5" hidden="1" customHeight="1" x14ac:dyDescent="0.2">
      <c r="A52" s="20" t="s">
        <v>103</v>
      </c>
      <c r="B52" s="20"/>
      <c r="C52" s="20"/>
      <c r="D52" s="20"/>
      <c r="E52" s="21">
        <v>231494</v>
      </c>
      <c r="F52" s="22">
        <v>3</v>
      </c>
      <c r="G52" s="22">
        <v>1</v>
      </c>
      <c r="H52" s="23" t="s">
        <v>106</v>
      </c>
      <c r="I52" s="20" t="s">
        <v>65</v>
      </c>
      <c r="J52" s="20"/>
    </row>
    <row r="53" spans="1:10" ht="13.5" hidden="1" customHeight="1" x14ac:dyDescent="0.2">
      <c r="A53" s="20" t="s">
        <v>103</v>
      </c>
      <c r="B53" s="20"/>
      <c r="C53" s="20"/>
      <c r="D53" s="20"/>
      <c r="E53" s="21">
        <v>231494</v>
      </c>
      <c r="F53" s="22">
        <v>4</v>
      </c>
      <c r="G53" s="22">
        <v>1</v>
      </c>
      <c r="H53" s="23" t="s">
        <v>107</v>
      </c>
      <c r="I53" s="20" t="s">
        <v>65</v>
      </c>
      <c r="J53" s="20"/>
    </row>
    <row r="54" spans="1:10" ht="13.5" hidden="1" customHeight="1" x14ac:dyDescent="0.2">
      <c r="A54" s="20" t="s">
        <v>103</v>
      </c>
      <c r="B54" s="20"/>
      <c r="C54" s="20"/>
      <c r="D54" s="20"/>
      <c r="E54" s="21">
        <v>231494</v>
      </c>
      <c r="F54" s="22">
        <v>5</v>
      </c>
      <c r="G54" s="22">
        <v>1</v>
      </c>
      <c r="H54" s="23" t="s">
        <v>107</v>
      </c>
      <c r="I54" s="20" t="s">
        <v>65</v>
      </c>
      <c r="J54" s="20"/>
    </row>
    <row r="55" spans="1:10" ht="13.5" hidden="1" customHeight="1" x14ac:dyDescent="0.2">
      <c r="A55" s="20" t="s">
        <v>108</v>
      </c>
      <c r="B55" s="20"/>
      <c r="C55" s="20"/>
      <c r="D55" s="20"/>
      <c r="E55" s="21">
        <v>231495</v>
      </c>
      <c r="F55" s="22">
        <v>1</v>
      </c>
      <c r="G55" s="22">
        <v>1</v>
      </c>
      <c r="H55" s="23" t="s">
        <v>94</v>
      </c>
      <c r="I55" s="20" t="s">
        <v>65</v>
      </c>
      <c r="J55" s="20"/>
    </row>
    <row r="56" spans="1:10" ht="13.5" hidden="1" customHeight="1" x14ac:dyDescent="0.2">
      <c r="A56" s="20" t="s">
        <v>108</v>
      </c>
      <c r="B56" s="20"/>
      <c r="C56" s="20"/>
      <c r="D56" s="20"/>
      <c r="E56" s="21">
        <v>231495</v>
      </c>
      <c r="F56" s="22">
        <v>2</v>
      </c>
      <c r="G56" s="22">
        <v>1</v>
      </c>
      <c r="H56" s="23" t="s">
        <v>109</v>
      </c>
      <c r="I56" s="20" t="s">
        <v>65</v>
      </c>
      <c r="J56" s="20"/>
    </row>
    <row r="57" spans="1:10" ht="13.5" hidden="1" customHeight="1" x14ac:dyDescent="0.2">
      <c r="A57" s="20" t="s">
        <v>110</v>
      </c>
      <c r="B57" s="20"/>
      <c r="C57" s="20"/>
      <c r="D57" s="20"/>
      <c r="E57" s="21">
        <v>231496</v>
      </c>
      <c r="F57" s="22">
        <v>1</v>
      </c>
      <c r="G57" s="22">
        <v>1</v>
      </c>
      <c r="H57" s="23" t="s">
        <v>23</v>
      </c>
      <c r="I57" s="20" t="s">
        <v>24</v>
      </c>
      <c r="J57" s="20"/>
    </row>
    <row r="58" spans="1:10" ht="13.5" hidden="1" customHeight="1" x14ac:dyDescent="0.2">
      <c r="A58" s="20" t="s">
        <v>110</v>
      </c>
      <c r="B58" s="20"/>
      <c r="C58" s="20"/>
      <c r="D58" s="20"/>
      <c r="E58" s="21">
        <v>231496</v>
      </c>
      <c r="F58" s="22">
        <v>2</v>
      </c>
      <c r="G58" s="22">
        <v>2</v>
      </c>
      <c r="H58" s="23" t="s">
        <v>25</v>
      </c>
      <c r="I58" s="20" t="s">
        <v>24</v>
      </c>
      <c r="J58" s="20"/>
    </row>
    <row r="59" spans="1:10" ht="13.5" hidden="1" customHeight="1" x14ac:dyDescent="0.2">
      <c r="A59" s="20" t="s">
        <v>111</v>
      </c>
      <c r="B59" s="20"/>
      <c r="C59" s="20"/>
      <c r="D59" s="20"/>
      <c r="E59" s="21">
        <v>231497</v>
      </c>
      <c r="F59" s="22">
        <v>1</v>
      </c>
      <c r="G59" s="22">
        <v>5</v>
      </c>
      <c r="H59" s="23" t="s">
        <v>25</v>
      </c>
      <c r="I59" s="20" t="s">
        <v>24</v>
      </c>
      <c r="J59" s="20"/>
    </row>
    <row r="60" spans="1:10" ht="13.5" hidden="1" customHeight="1" x14ac:dyDescent="0.2">
      <c r="A60" s="20" t="s">
        <v>112</v>
      </c>
      <c r="B60" s="20"/>
      <c r="C60" s="20"/>
      <c r="D60" s="20"/>
      <c r="E60" s="21">
        <v>231498</v>
      </c>
      <c r="F60" s="22">
        <v>1</v>
      </c>
      <c r="G60" s="22">
        <v>1</v>
      </c>
      <c r="H60" s="23" t="s">
        <v>23</v>
      </c>
      <c r="I60" s="20" t="s">
        <v>24</v>
      </c>
      <c r="J60" s="20"/>
    </row>
    <row r="61" spans="1:10" ht="13.5" hidden="1" customHeight="1" x14ac:dyDescent="0.2">
      <c r="A61" s="20" t="s">
        <v>112</v>
      </c>
      <c r="B61" s="20"/>
      <c r="C61" s="20"/>
      <c r="D61" s="20"/>
      <c r="E61" s="21">
        <v>231498</v>
      </c>
      <c r="F61" s="22">
        <v>2</v>
      </c>
      <c r="G61" s="22">
        <v>2</v>
      </c>
      <c r="H61" s="23" t="s">
        <v>25</v>
      </c>
      <c r="I61" s="20" t="s">
        <v>24</v>
      </c>
      <c r="J61" s="20"/>
    </row>
    <row r="62" spans="1:10" ht="13.5" hidden="1" customHeight="1" x14ac:dyDescent="0.2">
      <c r="A62" s="20" t="s">
        <v>113</v>
      </c>
      <c r="B62" s="20"/>
      <c r="C62" s="20"/>
      <c r="D62" s="20"/>
      <c r="E62" s="21">
        <v>231499</v>
      </c>
      <c r="F62" s="22">
        <v>1</v>
      </c>
      <c r="G62" s="22">
        <v>2</v>
      </c>
      <c r="H62" s="23" t="s">
        <v>25</v>
      </c>
      <c r="I62" s="20" t="s">
        <v>24</v>
      </c>
      <c r="J62" s="20"/>
    </row>
    <row r="63" spans="1:10" ht="13.5" hidden="1" customHeight="1" x14ac:dyDescent="0.2">
      <c r="A63" s="20" t="s">
        <v>113</v>
      </c>
      <c r="B63" s="20"/>
      <c r="C63" s="20"/>
      <c r="D63" s="20"/>
      <c r="E63" s="21">
        <v>231499</v>
      </c>
      <c r="F63" s="22">
        <v>2</v>
      </c>
      <c r="G63" s="22">
        <v>1</v>
      </c>
      <c r="H63" s="23" t="s">
        <v>23</v>
      </c>
      <c r="I63" s="20" t="s">
        <v>24</v>
      </c>
      <c r="J63" s="20"/>
    </row>
    <row r="64" spans="1:10" ht="13.5" hidden="1" customHeight="1" x14ac:dyDescent="0.2">
      <c r="A64" s="20" t="s">
        <v>114</v>
      </c>
      <c r="B64" s="20"/>
      <c r="C64" s="20"/>
      <c r="D64" s="20"/>
      <c r="E64" s="21">
        <v>231500</v>
      </c>
      <c r="F64" s="22">
        <v>1</v>
      </c>
      <c r="G64" s="22">
        <v>4</v>
      </c>
      <c r="H64" s="23" t="s">
        <v>25</v>
      </c>
      <c r="I64" s="20" t="s">
        <v>24</v>
      </c>
      <c r="J64" s="20"/>
    </row>
    <row r="65" spans="1:10" ht="13.5" hidden="1" customHeight="1" x14ac:dyDescent="0.2">
      <c r="A65" s="20" t="s">
        <v>115</v>
      </c>
      <c r="B65" s="20"/>
      <c r="C65" s="20"/>
      <c r="D65" s="20"/>
      <c r="E65" s="21">
        <v>231501</v>
      </c>
      <c r="F65" s="22">
        <v>1</v>
      </c>
      <c r="G65" s="22">
        <v>4</v>
      </c>
      <c r="H65" s="23" t="s">
        <v>25</v>
      </c>
      <c r="I65" s="20" t="s">
        <v>24</v>
      </c>
      <c r="J65" s="20"/>
    </row>
    <row r="66" spans="1:10" ht="13.5" hidden="1" customHeight="1" x14ac:dyDescent="0.2">
      <c r="A66" s="20" t="s">
        <v>116</v>
      </c>
      <c r="B66" s="20"/>
      <c r="C66" s="20"/>
      <c r="D66" s="20"/>
      <c r="E66" s="21">
        <v>231502</v>
      </c>
      <c r="F66" s="22">
        <v>1</v>
      </c>
      <c r="G66" s="22">
        <v>4</v>
      </c>
      <c r="H66" s="23" t="s">
        <v>25</v>
      </c>
      <c r="I66" s="20" t="s">
        <v>24</v>
      </c>
      <c r="J66" s="20"/>
    </row>
    <row r="67" spans="1:10" ht="13.5" hidden="1" customHeight="1" x14ac:dyDescent="0.2">
      <c r="A67" s="20" t="s">
        <v>116</v>
      </c>
      <c r="B67" s="20"/>
      <c r="C67" s="20"/>
      <c r="D67" s="20"/>
      <c r="E67" s="21">
        <v>231502</v>
      </c>
      <c r="F67" s="22">
        <v>2</v>
      </c>
      <c r="G67" s="22">
        <v>1</v>
      </c>
      <c r="H67" s="23" t="s">
        <v>23</v>
      </c>
      <c r="I67" s="20" t="s">
        <v>24</v>
      </c>
      <c r="J67" s="20"/>
    </row>
    <row r="68" spans="1:10" ht="13.5" hidden="1" customHeight="1" x14ac:dyDescent="0.2">
      <c r="A68" s="20" t="s">
        <v>117</v>
      </c>
      <c r="B68" s="20"/>
      <c r="C68" s="20"/>
      <c r="D68" s="20"/>
      <c r="E68" s="21">
        <v>231504</v>
      </c>
      <c r="F68" s="22">
        <v>1</v>
      </c>
      <c r="G68" s="22">
        <v>1</v>
      </c>
      <c r="H68" s="23" t="s">
        <v>47</v>
      </c>
      <c r="I68" s="20" t="s">
        <v>39</v>
      </c>
      <c r="J68" s="20"/>
    </row>
    <row r="69" spans="1:10" ht="13.5" hidden="1" customHeight="1" x14ac:dyDescent="0.2">
      <c r="A69" s="20" t="s">
        <v>117</v>
      </c>
      <c r="B69" s="20"/>
      <c r="C69" s="20"/>
      <c r="D69" s="20"/>
      <c r="E69" s="21">
        <v>231504</v>
      </c>
      <c r="F69" s="22">
        <v>2</v>
      </c>
      <c r="G69" s="22">
        <v>1</v>
      </c>
      <c r="H69" s="23" t="s">
        <v>46</v>
      </c>
      <c r="I69" s="20" t="s">
        <v>39</v>
      </c>
      <c r="J69" s="20"/>
    </row>
    <row r="70" spans="1:10" ht="13.5" hidden="1" customHeight="1" x14ac:dyDescent="0.2">
      <c r="A70" s="20" t="s">
        <v>118</v>
      </c>
      <c r="B70" s="20"/>
      <c r="C70" s="20"/>
      <c r="D70" s="20"/>
      <c r="E70" s="21">
        <v>231505</v>
      </c>
      <c r="F70" s="22">
        <v>1</v>
      </c>
      <c r="G70" s="22">
        <v>1</v>
      </c>
      <c r="H70" s="23" t="s">
        <v>50</v>
      </c>
      <c r="I70" s="20" t="s">
        <v>26</v>
      </c>
      <c r="J70" s="20"/>
    </row>
    <row r="71" spans="1:10" ht="13.5" hidden="1" customHeight="1" x14ac:dyDescent="0.2">
      <c r="A71" s="20" t="s">
        <v>118</v>
      </c>
      <c r="B71" s="20"/>
      <c r="C71" s="20"/>
      <c r="D71" s="20"/>
      <c r="E71" s="21">
        <v>231505</v>
      </c>
      <c r="F71" s="22">
        <v>2</v>
      </c>
      <c r="G71" s="22">
        <v>1</v>
      </c>
      <c r="H71" s="23" t="s">
        <v>119</v>
      </c>
      <c r="I71" s="20" t="s">
        <v>26</v>
      </c>
      <c r="J71" s="20"/>
    </row>
    <row r="72" spans="1:10" ht="13.5" hidden="1" customHeight="1" x14ac:dyDescent="0.2">
      <c r="A72" s="20" t="s">
        <v>118</v>
      </c>
      <c r="B72" s="20"/>
      <c r="C72" s="20"/>
      <c r="D72" s="20"/>
      <c r="E72" s="21">
        <v>231505</v>
      </c>
      <c r="F72" s="22">
        <v>3</v>
      </c>
      <c r="G72" s="22">
        <v>1</v>
      </c>
      <c r="H72" s="23" t="s">
        <v>120</v>
      </c>
      <c r="I72" s="20" t="s">
        <v>26</v>
      </c>
      <c r="J72" s="20"/>
    </row>
    <row r="73" spans="1:10" ht="13.5" hidden="1" customHeight="1" x14ac:dyDescent="0.2">
      <c r="A73" s="20" t="s">
        <v>121</v>
      </c>
      <c r="B73" s="20"/>
      <c r="C73" s="20"/>
      <c r="D73" s="20"/>
      <c r="E73" s="21">
        <v>231507</v>
      </c>
      <c r="F73" s="22">
        <v>1</v>
      </c>
      <c r="G73" s="22">
        <v>2</v>
      </c>
      <c r="H73" s="23" t="s">
        <v>23</v>
      </c>
      <c r="I73" s="20" t="s">
        <v>24</v>
      </c>
      <c r="J73" s="20"/>
    </row>
    <row r="74" spans="1:10" ht="13.5" hidden="1" customHeight="1" x14ac:dyDescent="0.2">
      <c r="A74" s="20" t="s">
        <v>121</v>
      </c>
      <c r="B74" s="20"/>
      <c r="C74" s="20"/>
      <c r="D74" s="20"/>
      <c r="E74" s="21">
        <v>231507</v>
      </c>
      <c r="F74" s="22">
        <v>2</v>
      </c>
      <c r="G74" s="22">
        <v>2</v>
      </c>
      <c r="H74" s="23" t="s">
        <v>25</v>
      </c>
      <c r="I74" s="20" t="s">
        <v>24</v>
      </c>
      <c r="J74" s="20"/>
    </row>
    <row r="75" spans="1:10" ht="13.5" hidden="1" customHeight="1" x14ac:dyDescent="0.2">
      <c r="A75" s="20" t="s">
        <v>122</v>
      </c>
      <c r="B75" s="20"/>
      <c r="C75" s="20"/>
      <c r="D75" s="20"/>
      <c r="E75" s="21">
        <v>231508</v>
      </c>
      <c r="F75" s="22">
        <v>1</v>
      </c>
      <c r="G75" s="22">
        <v>2</v>
      </c>
      <c r="H75" s="23" t="s">
        <v>23</v>
      </c>
      <c r="I75" s="20" t="s">
        <v>24</v>
      </c>
      <c r="J75" s="20"/>
    </row>
    <row r="76" spans="1:10" ht="13.5" hidden="1" customHeight="1" x14ac:dyDescent="0.2">
      <c r="A76" s="20" t="s">
        <v>122</v>
      </c>
      <c r="B76" s="20"/>
      <c r="C76" s="20"/>
      <c r="D76" s="20"/>
      <c r="E76" s="21">
        <v>231508</v>
      </c>
      <c r="F76" s="22">
        <v>2</v>
      </c>
      <c r="G76" s="22">
        <v>2</v>
      </c>
      <c r="H76" s="23" t="s">
        <v>25</v>
      </c>
      <c r="I76" s="20" t="s">
        <v>24</v>
      </c>
      <c r="J76" s="20"/>
    </row>
    <row r="77" spans="1:10" ht="13.5" hidden="1" customHeight="1" x14ac:dyDescent="0.2">
      <c r="A77" s="20" t="s">
        <v>123</v>
      </c>
      <c r="B77" s="20"/>
      <c r="C77" s="20"/>
      <c r="D77" s="20"/>
      <c r="E77" s="21">
        <v>231509</v>
      </c>
      <c r="F77" s="22">
        <v>1</v>
      </c>
      <c r="G77" s="22">
        <v>2</v>
      </c>
      <c r="H77" s="23" t="s">
        <v>23</v>
      </c>
      <c r="I77" s="20" t="s">
        <v>24</v>
      </c>
      <c r="J77" s="20"/>
    </row>
    <row r="78" spans="1:10" ht="13.5" hidden="1" customHeight="1" x14ac:dyDescent="0.2">
      <c r="A78" s="20" t="s">
        <v>123</v>
      </c>
      <c r="B78" s="20"/>
      <c r="C78" s="20"/>
      <c r="D78" s="20"/>
      <c r="E78" s="21">
        <v>231509</v>
      </c>
      <c r="F78" s="22">
        <v>2</v>
      </c>
      <c r="G78" s="22">
        <v>2</v>
      </c>
      <c r="H78" s="23" t="s">
        <v>25</v>
      </c>
      <c r="I78" s="20" t="s">
        <v>24</v>
      </c>
      <c r="J78" s="20"/>
    </row>
    <row r="79" spans="1:10" ht="13.5" hidden="1" customHeight="1" x14ac:dyDescent="0.2">
      <c r="A79" s="20" t="s">
        <v>124</v>
      </c>
      <c r="B79" s="20"/>
      <c r="C79" s="20"/>
      <c r="D79" s="20"/>
      <c r="E79" s="21">
        <v>231510</v>
      </c>
      <c r="F79" s="22">
        <v>1</v>
      </c>
      <c r="G79" s="22">
        <v>1</v>
      </c>
      <c r="H79" s="23" t="s">
        <v>125</v>
      </c>
      <c r="I79" s="20" t="s">
        <v>39</v>
      </c>
      <c r="J79" s="20"/>
    </row>
    <row r="80" spans="1:10" ht="13.5" hidden="1" customHeight="1" x14ac:dyDescent="0.2">
      <c r="A80" s="20" t="s">
        <v>124</v>
      </c>
      <c r="B80" s="20"/>
      <c r="C80" s="20"/>
      <c r="D80" s="20"/>
      <c r="E80" s="21">
        <v>231510</v>
      </c>
      <c r="F80" s="22">
        <v>2</v>
      </c>
      <c r="G80" s="22">
        <v>1</v>
      </c>
      <c r="H80" s="23" t="s">
        <v>53</v>
      </c>
      <c r="I80" s="20" t="s">
        <v>39</v>
      </c>
      <c r="J80" s="20"/>
    </row>
    <row r="81" spans="1:10" ht="13.5" hidden="1" customHeight="1" x14ac:dyDescent="0.2">
      <c r="A81" s="20" t="s">
        <v>126</v>
      </c>
      <c r="B81" s="20"/>
      <c r="C81" s="20"/>
      <c r="D81" s="20"/>
      <c r="E81" s="21">
        <v>231511</v>
      </c>
      <c r="F81" s="22">
        <v>1</v>
      </c>
      <c r="G81" s="22">
        <v>1</v>
      </c>
      <c r="H81" s="23" t="s">
        <v>127</v>
      </c>
      <c r="I81" s="20" t="s">
        <v>39</v>
      </c>
      <c r="J81" s="20"/>
    </row>
    <row r="82" spans="1:10" ht="13.5" hidden="1" customHeight="1" x14ac:dyDescent="0.2">
      <c r="A82" s="20" t="s">
        <v>126</v>
      </c>
      <c r="B82" s="20"/>
      <c r="C82" s="20"/>
      <c r="D82" s="20"/>
      <c r="E82" s="21">
        <v>231511</v>
      </c>
      <c r="F82" s="22">
        <v>2</v>
      </c>
      <c r="G82" s="22">
        <v>1</v>
      </c>
      <c r="H82" s="23" t="s">
        <v>53</v>
      </c>
      <c r="I82" s="20" t="s">
        <v>39</v>
      </c>
      <c r="J82" s="20"/>
    </row>
    <row r="83" spans="1:10" ht="13.5" hidden="1" customHeight="1" x14ac:dyDescent="0.2">
      <c r="A83" s="20" t="s">
        <v>128</v>
      </c>
      <c r="B83" s="20"/>
      <c r="C83" s="20"/>
      <c r="D83" s="20"/>
      <c r="E83" s="21">
        <v>231512</v>
      </c>
      <c r="F83" s="22">
        <v>1</v>
      </c>
      <c r="G83" s="22">
        <v>1</v>
      </c>
      <c r="H83" s="23" t="s">
        <v>129</v>
      </c>
      <c r="I83" s="20" t="s">
        <v>39</v>
      </c>
      <c r="J83" s="20"/>
    </row>
    <row r="84" spans="1:10" ht="13.5" hidden="1" customHeight="1" x14ac:dyDescent="0.2">
      <c r="A84" s="20" t="s">
        <v>128</v>
      </c>
      <c r="B84" s="20"/>
      <c r="C84" s="20"/>
      <c r="D84" s="20"/>
      <c r="E84" s="21">
        <v>231512</v>
      </c>
      <c r="F84" s="22">
        <v>2</v>
      </c>
      <c r="G84" s="22">
        <v>1</v>
      </c>
      <c r="H84" s="23" t="s">
        <v>53</v>
      </c>
      <c r="I84" s="20" t="s">
        <v>39</v>
      </c>
      <c r="J84" s="20"/>
    </row>
    <row r="85" spans="1:10" ht="13.5" hidden="1" customHeight="1" x14ac:dyDescent="0.2">
      <c r="A85" s="20" t="s">
        <v>130</v>
      </c>
      <c r="B85" s="20"/>
      <c r="C85" s="20"/>
      <c r="D85" s="20"/>
      <c r="E85" s="21">
        <v>231513</v>
      </c>
      <c r="F85" s="22">
        <v>1</v>
      </c>
      <c r="G85" s="22">
        <v>1</v>
      </c>
      <c r="H85" s="23" t="s">
        <v>131</v>
      </c>
      <c r="I85" s="20" t="s">
        <v>39</v>
      </c>
      <c r="J85" s="20"/>
    </row>
    <row r="86" spans="1:10" ht="13.5" hidden="1" customHeight="1" x14ac:dyDescent="0.2">
      <c r="A86" s="20" t="s">
        <v>130</v>
      </c>
      <c r="B86" s="20"/>
      <c r="C86" s="20"/>
      <c r="D86" s="20"/>
      <c r="E86" s="21">
        <v>231513</v>
      </c>
      <c r="F86" s="22">
        <v>2</v>
      </c>
      <c r="G86" s="22">
        <v>1</v>
      </c>
      <c r="H86" s="23" t="s">
        <v>53</v>
      </c>
      <c r="I86" s="20" t="s">
        <v>39</v>
      </c>
      <c r="J86" s="20"/>
    </row>
    <row r="87" spans="1:10" ht="13.5" hidden="1" customHeight="1" x14ac:dyDescent="0.2">
      <c r="A87" s="20" t="s">
        <v>132</v>
      </c>
      <c r="B87" s="20"/>
      <c r="C87" s="20"/>
      <c r="D87" s="20"/>
      <c r="E87" s="21">
        <v>231514</v>
      </c>
      <c r="F87" s="22">
        <v>1</v>
      </c>
      <c r="G87" s="22">
        <v>1</v>
      </c>
      <c r="H87" s="23" t="s">
        <v>47</v>
      </c>
      <c r="I87" s="20" t="s">
        <v>39</v>
      </c>
      <c r="J87" s="20"/>
    </row>
    <row r="88" spans="1:10" ht="13.5" hidden="1" customHeight="1" x14ac:dyDescent="0.2">
      <c r="A88" s="20" t="s">
        <v>132</v>
      </c>
      <c r="B88" s="20"/>
      <c r="C88" s="20"/>
      <c r="D88" s="20"/>
      <c r="E88" s="21">
        <v>231514</v>
      </c>
      <c r="F88" s="22">
        <v>2</v>
      </c>
      <c r="G88" s="22">
        <v>1</v>
      </c>
      <c r="H88" s="23" t="s">
        <v>55</v>
      </c>
      <c r="I88" s="20" t="s">
        <v>39</v>
      </c>
      <c r="J88" s="20"/>
    </row>
    <row r="89" spans="1:10" ht="13.5" hidden="1" customHeight="1" x14ac:dyDescent="0.2">
      <c r="A89" s="20" t="s">
        <v>133</v>
      </c>
      <c r="B89" s="20"/>
      <c r="C89" s="20"/>
      <c r="D89" s="20"/>
      <c r="E89" s="21">
        <v>231515</v>
      </c>
      <c r="F89" s="22">
        <v>1</v>
      </c>
      <c r="G89" s="22">
        <v>1</v>
      </c>
      <c r="H89" s="23" t="s">
        <v>47</v>
      </c>
      <c r="I89" s="20" t="s">
        <v>39</v>
      </c>
      <c r="J89" s="20"/>
    </row>
    <row r="90" spans="1:10" ht="13.5" hidden="1" customHeight="1" x14ac:dyDescent="0.2">
      <c r="A90" s="20" t="s">
        <v>133</v>
      </c>
      <c r="B90" s="20"/>
      <c r="C90" s="20"/>
      <c r="D90" s="20"/>
      <c r="E90" s="21">
        <v>231515</v>
      </c>
      <c r="F90" s="22">
        <v>2</v>
      </c>
      <c r="G90" s="22">
        <v>1</v>
      </c>
      <c r="H90" s="23" t="s">
        <v>46</v>
      </c>
      <c r="I90" s="20" t="s">
        <v>39</v>
      </c>
      <c r="J90" s="20"/>
    </row>
    <row r="91" spans="1:10" ht="13.5" hidden="1" customHeight="1" x14ac:dyDescent="0.2">
      <c r="A91" s="20" t="s">
        <v>134</v>
      </c>
      <c r="B91" s="20"/>
      <c r="C91" s="20"/>
      <c r="D91" s="20"/>
      <c r="E91" s="21">
        <v>231516</v>
      </c>
      <c r="F91" s="22">
        <v>1</v>
      </c>
      <c r="G91" s="22">
        <v>1</v>
      </c>
      <c r="H91" s="23" t="s">
        <v>47</v>
      </c>
      <c r="I91" s="20" t="s">
        <v>39</v>
      </c>
      <c r="J91" s="20"/>
    </row>
    <row r="92" spans="1:10" ht="13.5" hidden="1" customHeight="1" x14ac:dyDescent="0.2">
      <c r="A92" s="20" t="s">
        <v>134</v>
      </c>
      <c r="B92" s="20"/>
      <c r="C92" s="20"/>
      <c r="D92" s="20"/>
      <c r="E92" s="21">
        <v>231516</v>
      </c>
      <c r="F92" s="22">
        <v>2</v>
      </c>
      <c r="G92" s="22">
        <v>1</v>
      </c>
      <c r="H92" s="23" t="s">
        <v>49</v>
      </c>
      <c r="I92" s="20" t="s">
        <v>39</v>
      </c>
      <c r="J92" s="20"/>
    </row>
    <row r="93" spans="1:10" ht="13.5" hidden="1" customHeight="1" x14ac:dyDescent="0.2">
      <c r="A93" s="20" t="s">
        <v>135</v>
      </c>
      <c r="B93" s="20"/>
      <c r="C93" s="20"/>
      <c r="D93" s="20"/>
      <c r="E93" s="21">
        <v>231517</v>
      </c>
      <c r="F93" s="22">
        <v>1</v>
      </c>
      <c r="G93" s="22">
        <v>1</v>
      </c>
      <c r="H93" s="23" t="s">
        <v>47</v>
      </c>
      <c r="I93" s="20" t="s">
        <v>39</v>
      </c>
      <c r="J93" s="20"/>
    </row>
    <row r="94" spans="1:10" ht="13.5" hidden="1" customHeight="1" x14ac:dyDescent="0.2">
      <c r="A94" s="20" t="s">
        <v>135</v>
      </c>
      <c r="B94" s="20"/>
      <c r="C94" s="20"/>
      <c r="D94" s="20"/>
      <c r="E94" s="21">
        <v>231517</v>
      </c>
      <c r="F94" s="22">
        <v>2</v>
      </c>
      <c r="G94" s="22">
        <v>1</v>
      </c>
      <c r="H94" s="23" t="s">
        <v>49</v>
      </c>
      <c r="I94" s="20" t="s">
        <v>39</v>
      </c>
      <c r="J94" s="20"/>
    </row>
    <row r="95" spans="1:10" ht="13.5" hidden="1" customHeight="1" x14ac:dyDescent="0.2">
      <c r="A95" s="20" t="s">
        <v>136</v>
      </c>
      <c r="B95" s="20"/>
      <c r="C95" s="20"/>
      <c r="D95" s="20"/>
      <c r="E95" s="21">
        <v>231518</v>
      </c>
      <c r="F95" s="22">
        <v>1</v>
      </c>
      <c r="G95" s="22">
        <v>1</v>
      </c>
      <c r="H95" s="23" t="s">
        <v>137</v>
      </c>
      <c r="I95" s="20" t="s">
        <v>138</v>
      </c>
      <c r="J95" s="20"/>
    </row>
    <row r="96" spans="1:10" ht="13.5" hidden="1" customHeight="1" x14ac:dyDescent="0.2">
      <c r="A96" s="20" t="s">
        <v>139</v>
      </c>
      <c r="B96" s="20"/>
      <c r="C96" s="20"/>
      <c r="D96" s="20"/>
      <c r="E96" s="21">
        <v>231519</v>
      </c>
      <c r="F96" s="22">
        <v>1</v>
      </c>
      <c r="G96" s="22">
        <v>1</v>
      </c>
      <c r="H96" s="23" t="s">
        <v>56</v>
      </c>
      <c r="I96" s="20" t="s">
        <v>140</v>
      </c>
      <c r="J96" s="20"/>
    </row>
    <row r="97" spans="1:47" ht="13.5" hidden="1" customHeight="1" x14ac:dyDescent="0.2">
      <c r="A97" s="20" t="s">
        <v>141</v>
      </c>
      <c r="B97" s="20"/>
      <c r="C97" s="20"/>
      <c r="D97" s="20"/>
      <c r="E97" s="21">
        <v>231520</v>
      </c>
      <c r="F97" s="22">
        <v>1</v>
      </c>
      <c r="G97" s="22">
        <v>1</v>
      </c>
      <c r="H97" s="23" t="s">
        <v>131</v>
      </c>
      <c r="I97" s="20" t="s">
        <v>39</v>
      </c>
      <c r="J97" s="20"/>
    </row>
    <row r="98" spans="1:47" ht="13.5" hidden="1" customHeight="1" x14ac:dyDescent="0.2">
      <c r="A98" s="20" t="s">
        <v>141</v>
      </c>
      <c r="B98" s="20"/>
      <c r="C98" s="20"/>
      <c r="D98" s="20"/>
      <c r="E98" s="21">
        <v>231520</v>
      </c>
      <c r="F98" s="22">
        <v>2</v>
      </c>
      <c r="G98" s="22">
        <v>1</v>
      </c>
      <c r="H98" s="23" t="s">
        <v>53</v>
      </c>
      <c r="I98" s="20" t="s">
        <v>39</v>
      </c>
      <c r="J98" s="20"/>
    </row>
    <row r="99" spans="1:47" ht="13.5" hidden="1" customHeight="1" x14ac:dyDescent="0.2">
      <c r="A99" s="57" t="s">
        <v>177</v>
      </c>
      <c r="B99" s="57"/>
      <c r="C99" s="57"/>
      <c r="D99" s="57"/>
      <c r="E99" s="58">
        <v>231528</v>
      </c>
      <c r="F99" s="59">
        <v>1</v>
      </c>
      <c r="G99" s="59">
        <v>1</v>
      </c>
      <c r="H99" s="60" t="s">
        <v>51</v>
      </c>
      <c r="I99" s="57" t="s">
        <v>73</v>
      </c>
      <c r="J99" s="57"/>
      <c r="K99" s="61"/>
      <c r="L99" s="61"/>
      <c r="M99" s="61"/>
      <c r="N99" s="34"/>
    </row>
    <row r="100" spans="1:47" ht="13.5" hidden="1" customHeight="1" x14ac:dyDescent="0.2">
      <c r="A100" s="57" t="s">
        <v>178</v>
      </c>
      <c r="B100" s="57"/>
      <c r="C100" s="57"/>
      <c r="D100" s="57"/>
      <c r="E100" s="58">
        <v>231530</v>
      </c>
      <c r="F100" s="59">
        <v>1</v>
      </c>
      <c r="G100" s="59">
        <v>1</v>
      </c>
      <c r="H100" s="60" t="s">
        <v>179</v>
      </c>
      <c r="I100" s="57" t="s">
        <v>68</v>
      </c>
      <c r="J100" s="57"/>
      <c r="K100" s="61"/>
      <c r="L100" s="61"/>
      <c r="M100" s="61"/>
      <c r="N100" s="34"/>
    </row>
    <row r="101" spans="1:47" ht="13.5" hidden="1" customHeight="1" x14ac:dyDescent="0.2">
      <c r="A101" s="62" t="s">
        <v>183</v>
      </c>
      <c r="B101" s="62"/>
      <c r="C101" s="62"/>
      <c r="D101" s="62"/>
      <c r="E101" s="63">
        <v>231531</v>
      </c>
      <c r="F101" s="64">
        <v>1</v>
      </c>
      <c r="G101" s="64">
        <v>1</v>
      </c>
      <c r="H101" s="65" t="s">
        <v>129</v>
      </c>
      <c r="I101" s="62" t="s">
        <v>39</v>
      </c>
      <c r="J101" s="62"/>
      <c r="K101" s="66"/>
      <c r="L101" s="66"/>
      <c r="M101" s="66"/>
      <c r="N101" s="34"/>
    </row>
    <row r="102" spans="1:47" ht="13.5" hidden="1" customHeight="1" x14ac:dyDescent="0.2">
      <c r="A102" s="62" t="s">
        <v>184</v>
      </c>
      <c r="B102" s="62"/>
      <c r="C102" s="62"/>
      <c r="D102" s="62"/>
      <c r="E102" s="63">
        <v>231532</v>
      </c>
      <c r="F102" s="64">
        <v>1</v>
      </c>
      <c r="G102" s="64">
        <v>1</v>
      </c>
      <c r="H102" s="65" t="s">
        <v>53</v>
      </c>
      <c r="I102" s="62" t="s">
        <v>39</v>
      </c>
      <c r="J102" s="62"/>
      <c r="K102" s="66"/>
      <c r="L102" s="66"/>
      <c r="M102" s="66"/>
      <c r="N102" s="34"/>
    </row>
    <row r="103" spans="1:47" ht="13.5" hidden="1" customHeight="1" x14ac:dyDescent="0.2">
      <c r="A103" s="62" t="s">
        <v>185</v>
      </c>
      <c r="B103" s="62"/>
      <c r="C103" s="62"/>
      <c r="D103" s="62"/>
      <c r="E103" s="63">
        <v>231529</v>
      </c>
      <c r="F103" s="64">
        <v>1</v>
      </c>
      <c r="G103" s="64">
        <v>1</v>
      </c>
      <c r="H103" s="65" t="s">
        <v>53</v>
      </c>
      <c r="I103" s="62" t="s">
        <v>39</v>
      </c>
      <c r="J103" s="62"/>
      <c r="K103" s="66"/>
      <c r="L103" s="66"/>
      <c r="M103" s="66"/>
      <c r="N103" s="34"/>
    </row>
    <row r="104" spans="1:47" ht="13.5" hidden="1" customHeight="1" x14ac:dyDescent="0.2">
      <c r="A104" s="57" t="s">
        <v>180</v>
      </c>
      <c r="B104" s="57"/>
      <c r="C104" s="57"/>
      <c r="D104" s="57"/>
      <c r="E104" s="58">
        <v>231533</v>
      </c>
      <c r="F104" s="59">
        <v>1</v>
      </c>
      <c r="G104" s="59">
        <v>1</v>
      </c>
      <c r="H104" s="60" t="s">
        <v>67</v>
      </c>
      <c r="I104" s="57" t="s">
        <v>52</v>
      </c>
      <c r="J104" s="57"/>
      <c r="K104" s="61"/>
      <c r="L104" s="61"/>
      <c r="M104" s="61"/>
      <c r="N104" s="34"/>
    </row>
    <row r="105" spans="1:47" ht="13.5" hidden="1" customHeight="1" x14ac:dyDescent="0.2">
      <c r="A105" s="19" t="s">
        <v>8</v>
      </c>
    </row>
    <row r="106" spans="1:47" ht="13.5" hidden="1" customHeight="1" x14ac:dyDescent="0.2">
      <c r="A106" s="20" t="s">
        <v>142</v>
      </c>
      <c r="B106" s="20"/>
      <c r="C106" s="20"/>
      <c r="D106" s="20"/>
      <c r="E106" s="21">
        <v>231404</v>
      </c>
      <c r="F106" s="22">
        <v>1</v>
      </c>
      <c r="G106" s="22">
        <v>1</v>
      </c>
      <c r="H106" s="23" t="s">
        <v>143</v>
      </c>
      <c r="I106" s="20" t="s">
        <v>69</v>
      </c>
      <c r="J106" s="20"/>
      <c r="AP106" s="44" t="s">
        <v>188</v>
      </c>
      <c r="AQ106" s="44">
        <v>231404</v>
      </c>
      <c r="AR106" s="44">
        <v>1</v>
      </c>
      <c r="AS106" s="44">
        <v>1</v>
      </c>
      <c r="AT106" s="46">
        <v>46101.447916666664</v>
      </c>
      <c r="AU106" s="47" t="s">
        <v>66</v>
      </c>
    </row>
    <row r="107" spans="1:47" ht="13.5" hidden="1" customHeight="1" x14ac:dyDescent="0.2">
      <c r="A107" s="20" t="s">
        <v>142</v>
      </c>
      <c r="B107" s="20"/>
      <c r="C107" s="20"/>
      <c r="D107" s="20"/>
      <c r="E107" s="21">
        <v>231404</v>
      </c>
      <c r="F107" s="22">
        <v>2</v>
      </c>
      <c r="G107" s="22">
        <v>1</v>
      </c>
      <c r="H107" s="23" t="s">
        <v>144</v>
      </c>
      <c r="I107" s="20" t="s">
        <v>69</v>
      </c>
      <c r="J107" s="20"/>
      <c r="AP107" s="44" t="s">
        <v>189</v>
      </c>
      <c r="AQ107" s="44">
        <v>231404</v>
      </c>
      <c r="AR107" s="44">
        <v>2</v>
      </c>
      <c r="AS107" s="44">
        <v>1</v>
      </c>
      <c r="AT107" s="46">
        <v>46101.443749999999</v>
      </c>
      <c r="AU107" s="47" t="s">
        <v>66</v>
      </c>
    </row>
    <row r="108" spans="1:47" ht="13.5" hidden="1" customHeight="1" x14ac:dyDescent="0.2">
      <c r="A108" s="20" t="s">
        <v>142</v>
      </c>
      <c r="B108" s="20"/>
      <c r="C108" s="20"/>
      <c r="D108" s="20"/>
      <c r="E108" s="21">
        <v>231404</v>
      </c>
      <c r="F108" s="22">
        <v>3</v>
      </c>
      <c r="G108" s="22">
        <v>1</v>
      </c>
      <c r="H108" s="23" t="s">
        <v>145</v>
      </c>
      <c r="I108" s="20" t="s">
        <v>69</v>
      </c>
      <c r="J108" s="20"/>
      <c r="AP108" s="44" t="s">
        <v>190</v>
      </c>
      <c r="AQ108" s="44">
        <v>231404</v>
      </c>
      <c r="AR108" s="44">
        <v>3</v>
      </c>
      <c r="AS108" s="44">
        <v>1</v>
      </c>
      <c r="AT108" s="46">
        <v>46101.488194444442</v>
      </c>
      <c r="AU108" s="47" t="s">
        <v>66</v>
      </c>
    </row>
    <row r="109" spans="1:47" ht="13.5" hidden="1" customHeight="1" x14ac:dyDescent="0.2">
      <c r="A109" s="20" t="s">
        <v>146</v>
      </c>
      <c r="B109" s="20"/>
      <c r="C109" s="20"/>
      <c r="D109" s="20"/>
      <c r="E109" s="21">
        <v>231405</v>
      </c>
      <c r="F109" s="22">
        <v>1</v>
      </c>
      <c r="G109" s="22">
        <v>1</v>
      </c>
      <c r="H109" s="23" t="s">
        <v>147</v>
      </c>
      <c r="I109" s="20" t="s">
        <v>69</v>
      </c>
      <c r="J109" s="20"/>
      <c r="AP109" s="44" t="s">
        <v>191</v>
      </c>
      <c r="AQ109" s="44">
        <v>231405</v>
      </c>
      <c r="AR109" s="44">
        <v>1</v>
      </c>
      <c r="AS109" s="44">
        <v>1</v>
      </c>
      <c r="AT109" s="46">
        <v>46101.458333333336</v>
      </c>
      <c r="AU109" s="47" t="s">
        <v>66</v>
      </c>
    </row>
    <row r="110" spans="1:47" ht="13.5" hidden="1" customHeight="1" x14ac:dyDescent="0.2">
      <c r="A110" s="20" t="s">
        <v>146</v>
      </c>
      <c r="B110" s="20"/>
      <c r="C110" s="20"/>
      <c r="D110" s="20"/>
      <c r="E110" s="21">
        <v>231405</v>
      </c>
      <c r="F110" s="22">
        <v>2</v>
      </c>
      <c r="G110" s="22">
        <v>1</v>
      </c>
      <c r="H110" s="23" t="s">
        <v>58</v>
      </c>
      <c r="I110" s="20" t="s">
        <v>69</v>
      </c>
      <c r="J110" s="20"/>
      <c r="AP110" s="44" t="s">
        <v>192</v>
      </c>
      <c r="AQ110" s="44">
        <v>231405</v>
      </c>
      <c r="AR110" s="44">
        <v>2</v>
      </c>
      <c r="AS110" s="44">
        <v>1</v>
      </c>
      <c r="AT110" s="46">
        <v>46101.443749999999</v>
      </c>
      <c r="AU110" s="47" t="s">
        <v>66</v>
      </c>
    </row>
    <row r="111" spans="1:47" ht="13.5" hidden="1" customHeight="1" x14ac:dyDescent="0.2">
      <c r="A111" s="20" t="s">
        <v>148</v>
      </c>
      <c r="B111" s="20"/>
      <c r="C111" s="20"/>
      <c r="D111" s="20"/>
      <c r="E111" s="21">
        <v>231406</v>
      </c>
      <c r="F111" s="22">
        <v>1</v>
      </c>
      <c r="G111" s="22">
        <v>1</v>
      </c>
      <c r="H111" s="23" t="s">
        <v>149</v>
      </c>
      <c r="I111" s="20" t="s">
        <v>69</v>
      </c>
      <c r="J111" s="20"/>
      <c r="P111" s="44" t="s">
        <v>193</v>
      </c>
      <c r="Q111" s="44">
        <v>231406</v>
      </c>
      <c r="R111" s="44">
        <v>1</v>
      </c>
      <c r="S111" s="45">
        <v>1</v>
      </c>
      <c r="T111" s="53">
        <v>46104.467361111114</v>
      </c>
      <c r="U111" s="47" t="s">
        <v>66</v>
      </c>
      <c r="V111" s="67" t="s">
        <v>212</v>
      </c>
      <c r="AP111" s="44" t="s">
        <v>193</v>
      </c>
      <c r="AQ111" s="44">
        <v>231406</v>
      </c>
      <c r="AR111" s="44">
        <v>1</v>
      </c>
      <c r="AS111" s="44">
        <v>1</v>
      </c>
      <c r="AT111" s="46">
        <v>46104.466666666667</v>
      </c>
      <c r="AU111" s="47" t="s">
        <v>66</v>
      </c>
    </row>
    <row r="112" spans="1:47" ht="13.5" hidden="1" customHeight="1" x14ac:dyDescent="0.2">
      <c r="A112" s="20" t="s">
        <v>148</v>
      </c>
      <c r="B112" s="20"/>
      <c r="C112" s="20"/>
      <c r="D112" s="20"/>
      <c r="E112" s="21">
        <v>231406</v>
      </c>
      <c r="F112" s="22">
        <v>2</v>
      </c>
      <c r="G112" s="22">
        <v>1</v>
      </c>
      <c r="H112" s="23" t="s">
        <v>60</v>
      </c>
      <c r="I112" s="20" t="s">
        <v>69</v>
      </c>
      <c r="J112" s="20"/>
      <c r="AP112" s="44" t="s">
        <v>194</v>
      </c>
      <c r="AQ112" s="44">
        <v>231406</v>
      </c>
      <c r="AR112" s="44">
        <v>2</v>
      </c>
      <c r="AS112" s="44">
        <v>1</v>
      </c>
      <c r="AT112" s="46">
        <v>46101.444444444445</v>
      </c>
      <c r="AU112" s="47" t="s">
        <v>66</v>
      </c>
    </row>
    <row r="113" spans="1:47" ht="13.5" hidden="1" customHeight="1" x14ac:dyDescent="0.2">
      <c r="A113" s="20" t="s">
        <v>150</v>
      </c>
      <c r="B113" s="20"/>
      <c r="C113" s="20"/>
      <c r="D113" s="20"/>
      <c r="E113" s="21">
        <v>231407</v>
      </c>
      <c r="F113" s="22">
        <v>1</v>
      </c>
      <c r="G113" s="22">
        <v>1</v>
      </c>
      <c r="H113" s="23" t="s">
        <v>151</v>
      </c>
      <c r="I113" s="20" t="s">
        <v>73</v>
      </c>
      <c r="J113" s="20"/>
      <c r="AP113" s="44"/>
      <c r="AQ113" s="44"/>
      <c r="AR113" s="44"/>
      <c r="AS113" s="44"/>
      <c r="AT113" s="44"/>
      <c r="AU113" s="44"/>
    </row>
    <row r="114" spans="1:47" ht="13.5" hidden="1" customHeight="1" x14ac:dyDescent="0.2">
      <c r="A114" s="20" t="s">
        <v>152</v>
      </c>
      <c r="B114" s="20"/>
      <c r="C114" s="20"/>
      <c r="D114" s="20"/>
      <c r="E114" s="21">
        <v>231408</v>
      </c>
      <c r="F114" s="22">
        <v>1</v>
      </c>
      <c r="G114" s="22">
        <v>1</v>
      </c>
      <c r="H114" s="23" t="s">
        <v>153</v>
      </c>
      <c r="I114" s="20" t="s">
        <v>73</v>
      </c>
      <c r="J114" s="20"/>
      <c r="AP114" s="44" t="s">
        <v>195</v>
      </c>
      <c r="AQ114" s="44">
        <v>231408</v>
      </c>
      <c r="AR114" s="44">
        <v>1</v>
      </c>
      <c r="AS114" s="44">
        <v>1</v>
      </c>
      <c r="AT114" s="46">
        <v>46101.453472222223</v>
      </c>
      <c r="AU114" s="47" t="s">
        <v>66</v>
      </c>
    </row>
    <row r="115" spans="1:47" ht="13.5" hidden="1" customHeight="1" x14ac:dyDescent="0.2">
      <c r="A115" s="20" t="s">
        <v>154</v>
      </c>
      <c r="B115" s="20"/>
      <c r="C115" s="20"/>
      <c r="D115" s="20"/>
      <c r="E115" s="21">
        <v>231409</v>
      </c>
      <c r="F115" s="22">
        <v>1</v>
      </c>
      <c r="G115" s="22">
        <v>1</v>
      </c>
      <c r="H115" s="23" t="s">
        <v>155</v>
      </c>
      <c r="I115" s="20" t="s">
        <v>54</v>
      </c>
      <c r="J115" s="20"/>
      <c r="AP115" s="44" t="s">
        <v>196</v>
      </c>
      <c r="AQ115" s="44">
        <v>231409</v>
      </c>
      <c r="AR115" s="44">
        <v>1</v>
      </c>
      <c r="AS115" s="44">
        <v>1</v>
      </c>
      <c r="AT115" s="46">
        <v>46101.477777777778</v>
      </c>
      <c r="AU115" s="47" t="s">
        <v>66</v>
      </c>
    </row>
    <row r="116" spans="1:47" ht="13.5" hidden="1" customHeight="1" x14ac:dyDescent="0.2">
      <c r="A116" s="20" t="s">
        <v>154</v>
      </c>
      <c r="B116" s="20"/>
      <c r="C116" s="20"/>
      <c r="D116" s="20"/>
      <c r="E116" s="21">
        <v>231409</v>
      </c>
      <c r="F116" s="22">
        <v>2</v>
      </c>
      <c r="G116" s="22">
        <v>1</v>
      </c>
      <c r="H116" s="23" t="s">
        <v>156</v>
      </c>
      <c r="I116" s="20" t="s">
        <v>54</v>
      </c>
      <c r="J116" s="20"/>
      <c r="AP116" s="44" t="s">
        <v>197</v>
      </c>
      <c r="AQ116" s="44">
        <v>231409</v>
      </c>
      <c r="AR116" s="44">
        <v>2</v>
      </c>
      <c r="AS116" s="44">
        <v>1</v>
      </c>
      <c r="AT116" s="46">
        <v>46101.455555555556</v>
      </c>
      <c r="AU116" s="47" t="s">
        <v>66</v>
      </c>
    </row>
    <row r="117" spans="1:47" ht="13.5" hidden="1" customHeight="1" x14ac:dyDescent="0.2">
      <c r="A117" s="20" t="s">
        <v>157</v>
      </c>
      <c r="B117" s="20"/>
      <c r="C117" s="20"/>
      <c r="D117" s="20"/>
      <c r="E117" s="21">
        <v>231410</v>
      </c>
      <c r="F117" s="22">
        <v>1</v>
      </c>
      <c r="G117" s="22">
        <v>1</v>
      </c>
      <c r="H117" s="23" t="s">
        <v>158</v>
      </c>
      <c r="I117" s="20" t="s">
        <v>52</v>
      </c>
      <c r="J117" s="20"/>
      <c r="AP117" s="44" t="s">
        <v>198</v>
      </c>
      <c r="AQ117" s="44">
        <v>231410</v>
      </c>
      <c r="AR117" s="44">
        <v>1</v>
      </c>
      <c r="AS117" s="44">
        <v>1</v>
      </c>
      <c r="AT117" s="46">
        <v>46101.444444444445</v>
      </c>
      <c r="AU117" s="47" t="s">
        <v>66</v>
      </c>
    </row>
    <row r="118" spans="1:47" ht="13.5" hidden="1" customHeight="1" x14ac:dyDescent="0.2">
      <c r="A118" s="20" t="s">
        <v>157</v>
      </c>
      <c r="B118" s="20"/>
      <c r="C118" s="20"/>
      <c r="D118" s="20"/>
      <c r="E118" s="21">
        <v>231410</v>
      </c>
      <c r="F118" s="22">
        <v>2</v>
      </c>
      <c r="G118" s="22">
        <v>1</v>
      </c>
      <c r="H118" s="23" t="s">
        <v>159</v>
      </c>
      <c r="I118" s="20" t="s">
        <v>52</v>
      </c>
      <c r="J118" s="20"/>
      <c r="AP118" s="44" t="s">
        <v>199</v>
      </c>
      <c r="AQ118" s="44">
        <v>231410</v>
      </c>
      <c r="AR118" s="44">
        <v>2</v>
      </c>
      <c r="AS118" s="44">
        <v>1</v>
      </c>
      <c r="AT118" s="46">
        <v>46101.458333333336</v>
      </c>
      <c r="AU118" s="47" t="s">
        <v>66</v>
      </c>
    </row>
    <row r="119" spans="1:47" ht="13.5" hidden="1" customHeight="1" x14ac:dyDescent="0.2">
      <c r="A119" s="20" t="s">
        <v>160</v>
      </c>
      <c r="B119" s="20"/>
      <c r="C119" s="20"/>
      <c r="D119" s="20"/>
      <c r="E119" s="21">
        <v>231411</v>
      </c>
      <c r="F119" s="22">
        <v>1</v>
      </c>
      <c r="G119" s="22">
        <v>1</v>
      </c>
      <c r="H119" s="23" t="s">
        <v>57</v>
      </c>
      <c r="I119" s="20" t="s">
        <v>81</v>
      </c>
      <c r="J119" s="20"/>
      <c r="AP119" s="44" t="s">
        <v>200</v>
      </c>
      <c r="AQ119" s="44">
        <v>231411</v>
      </c>
      <c r="AR119" s="44">
        <v>1</v>
      </c>
      <c r="AS119" s="44">
        <v>1</v>
      </c>
      <c r="AT119" s="46">
        <v>46101.447916666664</v>
      </c>
      <c r="AU119" s="47" t="s">
        <v>66</v>
      </c>
    </row>
    <row r="120" spans="1:47" ht="13.5" hidden="1" customHeight="1" x14ac:dyDescent="0.2">
      <c r="A120" s="20" t="s">
        <v>160</v>
      </c>
      <c r="B120" s="20"/>
      <c r="C120" s="20"/>
      <c r="D120" s="20"/>
      <c r="E120" s="21">
        <v>231411</v>
      </c>
      <c r="F120" s="22">
        <v>2</v>
      </c>
      <c r="G120" s="22">
        <v>1</v>
      </c>
      <c r="H120" s="23" t="s">
        <v>161</v>
      </c>
      <c r="I120" s="20" t="s">
        <v>81</v>
      </c>
      <c r="J120" s="20"/>
      <c r="AP120" s="44" t="s">
        <v>201</v>
      </c>
      <c r="AQ120" s="44">
        <v>231411</v>
      </c>
      <c r="AR120" s="44">
        <v>2</v>
      </c>
      <c r="AS120" s="44">
        <v>1</v>
      </c>
      <c r="AT120" s="46">
        <v>46101.484027777777</v>
      </c>
      <c r="AU120" s="47" t="s">
        <v>66</v>
      </c>
    </row>
    <row r="121" spans="1:47" ht="13.5" hidden="1" customHeight="1" x14ac:dyDescent="0.2">
      <c r="A121" s="20" t="s">
        <v>162</v>
      </c>
      <c r="B121" s="20"/>
      <c r="C121" s="20"/>
      <c r="D121" s="20"/>
      <c r="E121" s="21">
        <v>231412</v>
      </c>
      <c r="F121" s="22">
        <v>1</v>
      </c>
      <c r="G121" s="22">
        <v>1</v>
      </c>
      <c r="H121" s="23" t="s">
        <v>163</v>
      </c>
      <c r="I121" s="20" t="s">
        <v>87</v>
      </c>
      <c r="J121" s="20"/>
      <c r="AP121" s="44" t="s">
        <v>202</v>
      </c>
      <c r="AQ121" s="44">
        <v>231412</v>
      </c>
      <c r="AR121" s="44">
        <v>1</v>
      </c>
      <c r="AS121" s="44">
        <v>1</v>
      </c>
      <c r="AT121" s="46">
        <v>46101.543055555558</v>
      </c>
      <c r="AU121" s="47" t="s">
        <v>66</v>
      </c>
    </row>
    <row r="122" spans="1:47" ht="13.5" customHeight="1" x14ac:dyDescent="0.2">
      <c r="A122" s="24" t="s">
        <v>164</v>
      </c>
      <c r="B122" s="24"/>
      <c r="C122" s="24"/>
      <c r="D122" s="24"/>
      <c r="E122" s="25">
        <v>231413</v>
      </c>
      <c r="F122" s="26">
        <v>1</v>
      </c>
      <c r="G122" s="26">
        <v>1</v>
      </c>
      <c r="H122" s="27" t="s">
        <v>60</v>
      </c>
      <c r="I122" s="24" t="s">
        <v>59</v>
      </c>
      <c r="J122" s="24"/>
      <c r="K122" s="28"/>
      <c r="L122" s="28"/>
      <c r="M122" s="28"/>
      <c r="AP122" s="44" t="s">
        <v>203</v>
      </c>
      <c r="AQ122" s="44">
        <v>231413</v>
      </c>
      <c r="AR122" s="44">
        <v>1</v>
      </c>
      <c r="AS122" s="44">
        <v>1</v>
      </c>
      <c r="AT122" s="46">
        <v>46101.459027777775</v>
      </c>
      <c r="AU122" s="47" t="s">
        <v>66</v>
      </c>
    </row>
    <row r="123" spans="1:47" ht="13.5" customHeight="1" x14ac:dyDescent="0.2">
      <c r="A123" s="24" t="s">
        <v>165</v>
      </c>
      <c r="B123" s="24"/>
      <c r="C123" s="24"/>
      <c r="D123" s="24"/>
      <c r="E123" s="25">
        <v>231425</v>
      </c>
      <c r="F123" s="26">
        <v>2</v>
      </c>
      <c r="G123" s="26">
        <v>1</v>
      </c>
      <c r="H123" s="27" t="s">
        <v>166</v>
      </c>
      <c r="I123" s="24" t="s">
        <v>59</v>
      </c>
      <c r="J123" s="24"/>
      <c r="K123" s="28"/>
      <c r="L123" s="28"/>
      <c r="M123" s="28"/>
      <c r="AP123" s="44" t="s">
        <v>204</v>
      </c>
      <c r="AQ123" s="44">
        <v>231425</v>
      </c>
      <c r="AR123" s="44">
        <v>2</v>
      </c>
      <c r="AS123" s="44">
        <v>1</v>
      </c>
      <c r="AT123" s="46">
        <v>46101.496527777781</v>
      </c>
      <c r="AU123" s="47" t="s">
        <v>66</v>
      </c>
    </row>
    <row r="124" spans="1:47" ht="13.5" customHeight="1" x14ac:dyDescent="0.2">
      <c r="A124" s="24" t="s">
        <v>167</v>
      </c>
      <c r="B124" s="24"/>
      <c r="C124" s="24"/>
      <c r="D124" s="24"/>
      <c r="E124" s="25">
        <v>231444</v>
      </c>
      <c r="F124" s="26">
        <v>1</v>
      </c>
      <c r="G124" s="26">
        <v>1</v>
      </c>
      <c r="H124" s="27" t="s">
        <v>168</v>
      </c>
      <c r="I124" s="24" t="s">
        <v>59</v>
      </c>
      <c r="J124" s="24"/>
      <c r="K124" s="28"/>
      <c r="L124" s="28"/>
      <c r="M124" s="28"/>
      <c r="AP124" s="44"/>
      <c r="AQ124" s="44"/>
      <c r="AR124" s="44"/>
      <c r="AS124" s="44"/>
      <c r="AT124" s="44"/>
      <c r="AU124" s="44"/>
    </row>
    <row r="125" spans="1:47" ht="13.5" customHeight="1" x14ac:dyDescent="0.2">
      <c r="A125" s="24" t="s">
        <v>167</v>
      </c>
      <c r="B125" s="24"/>
      <c r="C125" s="24"/>
      <c r="D125" s="24"/>
      <c r="E125" s="25">
        <v>231444</v>
      </c>
      <c r="F125" s="26">
        <v>2</v>
      </c>
      <c r="G125" s="26">
        <v>1</v>
      </c>
      <c r="H125" s="27" t="s">
        <v>60</v>
      </c>
      <c r="I125" s="24" t="s">
        <v>59</v>
      </c>
      <c r="J125" s="24"/>
      <c r="K125" s="28"/>
      <c r="L125" s="28"/>
      <c r="M125" s="28"/>
      <c r="AP125" s="44" t="s">
        <v>205</v>
      </c>
      <c r="AQ125" s="44">
        <v>231444</v>
      </c>
      <c r="AR125" s="44">
        <v>2</v>
      </c>
      <c r="AS125" s="44">
        <v>1</v>
      </c>
      <c r="AT125" s="46">
        <v>46101.581250000003</v>
      </c>
      <c r="AU125" s="47" t="s">
        <v>66</v>
      </c>
    </row>
    <row r="126" spans="1:47" ht="13.5" customHeight="1" x14ac:dyDescent="0.2">
      <c r="A126" s="24" t="s">
        <v>167</v>
      </c>
      <c r="B126" s="24"/>
      <c r="C126" s="24"/>
      <c r="D126" s="24"/>
      <c r="E126" s="25">
        <v>231445</v>
      </c>
      <c r="F126" s="26">
        <v>1</v>
      </c>
      <c r="G126" s="26">
        <v>1</v>
      </c>
      <c r="H126" s="27" t="s">
        <v>60</v>
      </c>
      <c r="I126" s="24" t="s">
        <v>59</v>
      </c>
      <c r="J126" s="24"/>
      <c r="K126" s="28"/>
      <c r="L126" s="28"/>
      <c r="M126" s="28"/>
      <c r="AP126" s="44" t="s">
        <v>206</v>
      </c>
      <c r="AQ126" s="44">
        <v>231445</v>
      </c>
      <c r="AR126" s="44">
        <v>1</v>
      </c>
      <c r="AS126" s="44">
        <v>1</v>
      </c>
      <c r="AT126" s="46">
        <v>46101.573611111111</v>
      </c>
      <c r="AU126" s="47" t="s">
        <v>66</v>
      </c>
    </row>
    <row r="127" spans="1:47" ht="13.5" customHeight="1" x14ac:dyDescent="0.2">
      <c r="A127" s="24" t="s">
        <v>167</v>
      </c>
      <c r="B127" s="24"/>
      <c r="C127" s="24"/>
      <c r="D127" s="24"/>
      <c r="E127" s="25">
        <v>231445</v>
      </c>
      <c r="F127" s="26">
        <v>2</v>
      </c>
      <c r="G127" s="26">
        <v>1</v>
      </c>
      <c r="H127" s="27" t="s">
        <v>169</v>
      </c>
      <c r="I127" s="24" t="s">
        <v>59</v>
      </c>
      <c r="J127" s="24"/>
      <c r="K127" s="28"/>
      <c r="L127" s="28"/>
      <c r="M127" s="28"/>
      <c r="AP127" s="44" t="s">
        <v>207</v>
      </c>
      <c r="AQ127" s="44">
        <v>231445</v>
      </c>
      <c r="AR127" s="44">
        <v>2</v>
      </c>
      <c r="AS127" s="44">
        <v>1</v>
      </c>
      <c r="AT127" s="46">
        <v>46101.556250000001</v>
      </c>
      <c r="AU127" s="47" t="s">
        <v>66</v>
      </c>
    </row>
    <row r="128" spans="1:47" ht="13.5" customHeight="1" x14ac:dyDescent="0.2">
      <c r="A128" s="24" t="s">
        <v>170</v>
      </c>
      <c r="B128" s="24"/>
      <c r="C128" s="24"/>
      <c r="D128" s="24"/>
      <c r="E128" s="25">
        <v>231446</v>
      </c>
      <c r="F128" s="26">
        <v>1</v>
      </c>
      <c r="G128" s="26">
        <v>1</v>
      </c>
      <c r="H128" s="27" t="s">
        <v>171</v>
      </c>
      <c r="I128" s="24" t="s">
        <v>59</v>
      </c>
      <c r="J128" s="24"/>
      <c r="K128" s="28"/>
      <c r="L128" s="28"/>
      <c r="M128" s="28"/>
      <c r="AP128" s="44" t="s">
        <v>208</v>
      </c>
      <c r="AQ128" s="44">
        <v>231446</v>
      </c>
      <c r="AR128" s="44">
        <v>1</v>
      </c>
      <c r="AS128" s="44">
        <v>1</v>
      </c>
      <c r="AT128" s="46">
        <v>46101.55972222222</v>
      </c>
      <c r="AU128" s="47" t="s">
        <v>66</v>
      </c>
    </row>
    <row r="129" spans="1:47" ht="13.5" customHeight="1" x14ac:dyDescent="0.2">
      <c r="A129" s="24" t="s">
        <v>170</v>
      </c>
      <c r="B129" s="24"/>
      <c r="C129" s="24"/>
      <c r="D129" s="24"/>
      <c r="E129" s="25">
        <v>231446</v>
      </c>
      <c r="F129" s="26">
        <v>2</v>
      </c>
      <c r="G129" s="26">
        <v>1</v>
      </c>
      <c r="H129" s="27" t="s">
        <v>172</v>
      </c>
      <c r="I129" s="24" t="s">
        <v>59</v>
      </c>
      <c r="J129" s="24"/>
      <c r="K129" s="28"/>
      <c r="L129" s="28"/>
      <c r="M129" s="28"/>
      <c r="AP129" s="44" t="s">
        <v>209</v>
      </c>
      <c r="AQ129" s="44">
        <v>231446</v>
      </c>
      <c r="AR129" s="44">
        <v>2</v>
      </c>
      <c r="AS129" s="44">
        <v>1</v>
      </c>
      <c r="AT129" s="46">
        <v>46104.47152777778</v>
      </c>
      <c r="AU129" s="47" t="s">
        <v>66</v>
      </c>
    </row>
    <row r="130" spans="1:47" ht="13.5" customHeight="1" x14ac:dyDescent="0.2">
      <c r="A130" s="24" t="s">
        <v>170</v>
      </c>
      <c r="B130" s="24"/>
      <c r="C130" s="24"/>
      <c r="D130" s="24"/>
      <c r="E130" s="25">
        <v>231447</v>
      </c>
      <c r="F130" s="26">
        <v>1</v>
      </c>
      <c r="G130" s="26">
        <v>1</v>
      </c>
      <c r="H130" s="27" t="s">
        <v>60</v>
      </c>
      <c r="I130" s="24" t="s">
        <v>59</v>
      </c>
      <c r="J130" s="24"/>
      <c r="K130" s="28"/>
      <c r="L130" s="28"/>
      <c r="M130" s="28"/>
      <c r="AP130" s="44" t="s">
        <v>210</v>
      </c>
      <c r="AQ130" s="44">
        <v>231447</v>
      </c>
      <c r="AR130" s="44">
        <v>1</v>
      </c>
      <c r="AS130" s="44">
        <v>1</v>
      </c>
      <c r="AT130" s="46">
        <v>46101.573611111111</v>
      </c>
      <c r="AU130" s="47" t="s">
        <v>66</v>
      </c>
    </row>
    <row r="131" spans="1:47" ht="13.5" customHeight="1" x14ac:dyDescent="0.2">
      <c r="A131" s="24" t="s">
        <v>170</v>
      </c>
      <c r="B131" s="24"/>
      <c r="C131" s="24"/>
      <c r="D131" s="24"/>
      <c r="E131" s="25">
        <v>231447</v>
      </c>
      <c r="F131" s="26">
        <v>2</v>
      </c>
      <c r="G131" s="26">
        <v>1</v>
      </c>
      <c r="H131" s="27" t="s">
        <v>173</v>
      </c>
      <c r="I131" s="24" t="s">
        <v>59</v>
      </c>
      <c r="J131" s="24"/>
      <c r="K131" s="28"/>
      <c r="L131" s="28"/>
      <c r="M131" s="28"/>
      <c r="AP131" s="44" t="s">
        <v>211</v>
      </c>
      <c r="AQ131" s="44">
        <v>231447</v>
      </c>
      <c r="AR131" s="44">
        <v>2</v>
      </c>
      <c r="AS131" s="44">
        <v>1</v>
      </c>
      <c r="AT131" s="46">
        <v>46101.560416666667</v>
      </c>
      <c r="AU131" s="47" t="s">
        <v>66</v>
      </c>
    </row>
    <row r="132" spans="1:47" ht="13.5" hidden="1" customHeight="1" x14ac:dyDescent="0.2">
      <c r="A132" s="62" t="s">
        <v>186</v>
      </c>
      <c r="B132" s="62"/>
      <c r="C132" s="62"/>
      <c r="D132" s="62"/>
      <c r="E132" s="63">
        <v>231489</v>
      </c>
      <c r="F132" s="64">
        <v>2</v>
      </c>
      <c r="G132" s="64">
        <v>1</v>
      </c>
      <c r="H132" s="65" t="s">
        <v>174</v>
      </c>
      <c r="I132" s="62" t="s">
        <v>175</v>
      </c>
      <c r="J132" s="62"/>
      <c r="K132" s="66"/>
      <c r="L132" s="66"/>
      <c r="M132" s="66"/>
    </row>
    <row r="133" spans="1:47" ht="13.5" hidden="1" customHeight="1" x14ac:dyDescent="0.2">
      <c r="A133" s="62" t="s">
        <v>186</v>
      </c>
      <c r="B133" s="62"/>
      <c r="C133" s="62"/>
      <c r="D133" s="62"/>
      <c r="E133" s="63">
        <v>231489</v>
      </c>
      <c r="F133" s="64">
        <v>3</v>
      </c>
      <c r="G133" s="64">
        <v>1</v>
      </c>
      <c r="H133" s="65" t="s">
        <v>176</v>
      </c>
      <c r="I133" s="62" t="s">
        <v>175</v>
      </c>
      <c r="J133" s="62"/>
      <c r="K133" s="66"/>
      <c r="L133" s="66"/>
      <c r="M133" s="66"/>
    </row>
    <row r="134" spans="1:47" ht="13.5" hidden="1" customHeight="1" x14ac:dyDescent="0.2">
      <c r="A134" s="62" t="s">
        <v>186</v>
      </c>
      <c r="B134" s="62"/>
      <c r="C134" s="62"/>
      <c r="D134" s="62"/>
      <c r="E134" s="63">
        <v>231489</v>
      </c>
      <c r="F134" s="64">
        <v>4</v>
      </c>
      <c r="G134" s="64">
        <v>1</v>
      </c>
      <c r="H134" s="65" t="s">
        <v>174</v>
      </c>
      <c r="I134" s="62" t="s">
        <v>175</v>
      </c>
      <c r="J134" s="62"/>
      <c r="K134" s="66"/>
      <c r="L134" s="66"/>
      <c r="M134" s="66"/>
    </row>
    <row r="135" spans="1:47" ht="13.5" hidden="1" customHeight="1" x14ac:dyDescent="0.2">
      <c r="A135" s="57" t="s">
        <v>61</v>
      </c>
      <c r="B135" s="57"/>
      <c r="C135" s="57"/>
      <c r="D135" s="57"/>
      <c r="E135" s="58">
        <v>231540</v>
      </c>
      <c r="F135" s="59">
        <v>1</v>
      </c>
      <c r="G135" s="59">
        <v>1</v>
      </c>
      <c r="H135" s="60" t="s">
        <v>181</v>
      </c>
      <c r="I135" s="57" t="s">
        <v>62</v>
      </c>
      <c r="J135" s="57"/>
      <c r="K135" s="61"/>
      <c r="L135" s="61"/>
      <c r="M135" s="61"/>
      <c r="N135" s="34"/>
    </row>
    <row r="136" spans="1:47" ht="12" customHeight="1" x14ac:dyDescent="0.2"/>
    <row r="137" spans="1:47" ht="12.95" customHeight="1" x14ac:dyDescent="0.2"/>
    <row r="138" spans="1:47" ht="15" customHeight="1" x14ac:dyDescent="0.2">
      <c r="J138" s="29"/>
      <c r="K138" s="30"/>
      <c r="L138" s="30"/>
      <c r="M138" s="30"/>
      <c r="N138" s="30"/>
    </row>
  </sheetData>
  <sheetProtection sheet="1" objects="1" scenarios="1" selectLockedCells="1"/>
  <mergeCells count="265">
    <mergeCell ref="A134:D134"/>
    <mergeCell ref="I134:J134"/>
    <mergeCell ref="A135:D135"/>
    <mergeCell ref="I135:J135"/>
    <mergeCell ref="A131:D131"/>
    <mergeCell ref="I131:J131"/>
    <mergeCell ref="A132:D132"/>
    <mergeCell ref="I132:J132"/>
    <mergeCell ref="A133:D133"/>
    <mergeCell ref="I133:J133"/>
    <mergeCell ref="A128:D128"/>
    <mergeCell ref="I128:J128"/>
    <mergeCell ref="A129:D129"/>
    <mergeCell ref="I129:J129"/>
    <mergeCell ref="A130:D130"/>
    <mergeCell ref="I130:J130"/>
    <mergeCell ref="A125:D125"/>
    <mergeCell ref="I125:J125"/>
    <mergeCell ref="A126:D126"/>
    <mergeCell ref="I126:J126"/>
    <mergeCell ref="A127:D127"/>
    <mergeCell ref="I127:J127"/>
    <mergeCell ref="A122:D122"/>
    <mergeCell ref="I122:J122"/>
    <mergeCell ref="A123:D123"/>
    <mergeCell ref="I123:J123"/>
    <mergeCell ref="A124:D124"/>
    <mergeCell ref="I124:J124"/>
    <mergeCell ref="A119:D119"/>
    <mergeCell ref="I119:J119"/>
    <mergeCell ref="A120:D120"/>
    <mergeCell ref="I120:J120"/>
    <mergeCell ref="A121:D121"/>
    <mergeCell ref="I121:J121"/>
    <mergeCell ref="A116:D116"/>
    <mergeCell ref="I116:J116"/>
    <mergeCell ref="A117:D117"/>
    <mergeCell ref="I117:J117"/>
    <mergeCell ref="A118:D118"/>
    <mergeCell ref="I118:J118"/>
    <mergeCell ref="A113:D113"/>
    <mergeCell ref="I113:J113"/>
    <mergeCell ref="A114:D114"/>
    <mergeCell ref="I114:J114"/>
    <mergeCell ref="A115:D115"/>
    <mergeCell ref="I115:J115"/>
    <mergeCell ref="A110:D110"/>
    <mergeCell ref="I110:J110"/>
    <mergeCell ref="A111:D111"/>
    <mergeCell ref="I111:J111"/>
    <mergeCell ref="A112:D112"/>
    <mergeCell ref="I112:J112"/>
    <mergeCell ref="A107:D107"/>
    <mergeCell ref="I107:J107"/>
    <mergeCell ref="A108:D108"/>
    <mergeCell ref="I108:J108"/>
    <mergeCell ref="A109:D109"/>
    <mergeCell ref="I109:J109"/>
    <mergeCell ref="A103:D103"/>
    <mergeCell ref="I103:J103"/>
    <mergeCell ref="A104:D104"/>
    <mergeCell ref="I104:J104"/>
    <mergeCell ref="A106:D106"/>
    <mergeCell ref="I106:J106"/>
    <mergeCell ref="A100:D100"/>
    <mergeCell ref="I100:J100"/>
    <mergeCell ref="A101:D101"/>
    <mergeCell ref="I101:J101"/>
    <mergeCell ref="A102:D102"/>
    <mergeCell ref="I102:J102"/>
    <mergeCell ref="A97:D97"/>
    <mergeCell ref="I97:J97"/>
    <mergeCell ref="A98:D98"/>
    <mergeCell ref="I98:J98"/>
    <mergeCell ref="A99:D99"/>
    <mergeCell ref="I99:J99"/>
    <mergeCell ref="A94:D94"/>
    <mergeCell ref="I94:J94"/>
    <mergeCell ref="A95:D95"/>
    <mergeCell ref="I95:J95"/>
    <mergeCell ref="A96:D96"/>
    <mergeCell ref="I96:J96"/>
    <mergeCell ref="A91:D91"/>
    <mergeCell ref="I91:J91"/>
    <mergeCell ref="A92:D92"/>
    <mergeCell ref="I92:J92"/>
    <mergeCell ref="A93:D93"/>
    <mergeCell ref="I93:J93"/>
    <mergeCell ref="A88:D88"/>
    <mergeCell ref="I88:J88"/>
    <mergeCell ref="A89:D89"/>
    <mergeCell ref="I89:J89"/>
    <mergeCell ref="A90:D90"/>
    <mergeCell ref="I90:J90"/>
    <mergeCell ref="A85:D85"/>
    <mergeCell ref="I85:J85"/>
    <mergeCell ref="A86:D86"/>
    <mergeCell ref="I86:J86"/>
    <mergeCell ref="A87:D87"/>
    <mergeCell ref="I87:J87"/>
    <mergeCell ref="A82:D82"/>
    <mergeCell ref="I82:J82"/>
    <mergeCell ref="A83:D83"/>
    <mergeCell ref="I83:J83"/>
    <mergeCell ref="A84:D84"/>
    <mergeCell ref="I84:J84"/>
    <mergeCell ref="A79:D79"/>
    <mergeCell ref="I79:J79"/>
    <mergeCell ref="A80:D80"/>
    <mergeCell ref="I80:J80"/>
    <mergeCell ref="A81:D81"/>
    <mergeCell ref="I81:J81"/>
    <mergeCell ref="A76:D76"/>
    <mergeCell ref="I76:J76"/>
    <mergeCell ref="A77:D77"/>
    <mergeCell ref="I77:J77"/>
    <mergeCell ref="A78:D78"/>
    <mergeCell ref="I78:J78"/>
    <mergeCell ref="A73:D73"/>
    <mergeCell ref="I73:J73"/>
    <mergeCell ref="A74:D74"/>
    <mergeCell ref="I74:J74"/>
    <mergeCell ref="A75:D75"/>
    <mergeCell ref="I75:J75"/>
    <mergeCell ref="A70:D70"/>
    <mergeCell ref="I70:J70"/>
    <mergeCell ref="A71:D71"/>
    <mergeCell ref="I71:J71"/>
    <mergeCell ref="A72:D72"/>
    <mergeCell ref="I72:J72"/>
    <mergeCell ref="A67:D67"/>
    <mergeCell ref="I67:J67"/>
    <mergeCell ref="A68:D68"/>
    <mergeCell ref="I68:J68"/>
    <mergeCell ref="A69:D69"/>
    <mergeCell ref="I69:J69"/>
    <mergeCell ref="A64:D64"/>
    <mergeCell ref="I64:J64"/>
    <mergeCell ref="A65:D65"/>
    <mergeCell ref="I65:J65"/>
    <mergeCell ref="A66:D66"/>
    <mergeCell ref="I66:J66"/>
    <mergeCell ref="A61:D61"/>
    <mergeCell ref="I61:J61"/>
    <mergeCell ref="A62:D62"/>
    <mergeCell ref="I62:J62"/>
    <mergeCell ref="A63:D63"/>
    <mergeCell ref="I63:J63"/>
    <mergeCell ref="A58:D58"/>
    <mergeCell ref="I58:J58"/>
    <mergeCell ref="A59:D59"/>
    <mergeCell ref="I59:J59"/>
    <mergeCell ref="A60:D60"/>
    <mergeCell ref="I60:J60"/>
    <mergeCell ref="A55:D55"/>
    <mergeCell ref="I55:J55"/>
    <mergeCell ref="A56:D56"/>
    <mergeCell ref="I56:J56"/>
    <mergeCell ref="A57:D57"/>
    <mergeCell ref="I57:J57"/>
    <mergeCell ref="A52:D52"/>
    <mergeCell ref="I52:J52"/>
    <mergeCell ref="A53:D53"/>
    <mergeCell ref="I53:J53"/>
    <mergeCell ref="A54:D54"/>
    <mergeCell ref="I54:J54"/>
    <mergeCell ref="A49:D49"/>
    <mergeCell ref="I49:J49"/>
    <mergeCell ref="A50:D50"/>
    <mergeCell ref="I50:J50"/>
    <mergeCell ref="A51:D51"/>
    <mergeCell ref="I51:J51"/>
    <mergeCell ref="A46:D46"/>
    <mergeCell ref="I46:J46"/>
    <mergeCell ref="A47:D47"/>
    <mergeCell ref="I47:J47"/>
    <mergeCell ref="A48:D48"/>
    <mergeCell ref="I48:J48"/>
    <mergeCell ref="A43:D43"/>
    <mergeCell ref="I43:J43"/>
    <mergeCell ref="A44:D44"/>
    <mergeCell ref="I44:J44"/>
    <mergeCell ref="A45:D45"/>
    <mergeCell ref="I45:J45"/>
    <mergeCell ref="A40:D40"/>
    <mergeCell ref="I40:J40"/>
    <mergeCell ref="A41:D41"/>
    <mergeCell ref="I41:J41"/>
    <mergeCell ref="A42:D42"/>
    <mergeCell ref="I42:J42"/>
    <mergeCell ref="A37:D37"/>
    <mergeCell ref="I37:J37"/>
    <mergeCell ref="A38:D38"/>
    <mergeCell ref="I38:J38"/>
    <mergeCell ref="A39:D39"/>
    <mergeCell ref="I39:J39"/>
    <mergeCell ref="A34:D34"/>
    <mergeCell ref="I34:J34"/>
    <mergeCell ref="A35:D35"/>
    <mergeCell ref="I35:J35"/>
    <mergeCell ref="A36:D36"/>
    <mergeCell ref="I36:J36"/>
    <mergeCell ref="A31:D31"/>
    <mergeCell ref="I31:J31"/>
    <mergeCell ref="A32:D32"/>
    <mergeCell ref="I32:J32"/>
    <mergeCell ref="A33:D33"/>
    <mergeCell ref="I33:J33"/>
    <mergeCell ref="A28:D28"/>
    <mergeCell ref="I28:J28"/>
    <mergeCell ref="A29:D29"/>
    <mergeCell ref="I29:J29"/>
    <mergeCell ref="A30:D30"/>
    <mergeCell ref="I30:J30"/>
    <mergeCell ref="A25:D25"/>
    <mergeCell ref="I25:J25"/>
    <mergeCell ref="A26:D26"/>
    <mergeCell ref="I26:J26"/>
    <mergeCell ref="A27:D27"/>
    <mergeCell ref="I27:J27"/>
    <mergeCell ref="A22:D22"/>
    <mergeCell ref="I22:J22"/>
    <mergeCell ref="A23:D23"/>
    <mergeCell ref="I23:J23"/>
    <mergeCell ref="A24:D24"/>
    <mergeCell ref="I24:J24"/>
    <mergeCell ref="A19:D19"/>
    <mergeCell ref="I19:J19"/>
    <mergeCell ref="A20:D20"/>
    <mergeCell ref="I20:J20"/>
    <mergeCell ref="A21:D21"/>
    <mergeCell ref="I21:J21"/>
    <mergeCell ref="A16:D16"/>
    <mergeCell ref="I16:J16"/>
    <mergeCell ref="A17:D17"/>
    <mergeCell ref="I17:J17"/>
    <mergeCell ref="A18:D18"/>
    <mergeCell ref="I18:J18"/>
    <mergeCell ref="A13:D13"/>
    <mergeCell ref="I13:J13"/>
    <mergeCell ref="A14:D14"/>
    <mergeCell ref="I14:J14"/>
    <mergeCell ref="A15:D15"/>
    <mergeCell ref="I15:J15"/>
    <mergeCell ref="A10:D10"/>
    <mergeCell ref="I10:J10"/>
    <mergeCell ref="A11:D11"/>
    <mergeCell ref="I11:J11"/>
    <mergeCell ref="A12:D12"/>
    <mergeCell ref="I12:J12"/>
    <mergeCell ref="A5:D5"/>
    <mergeCell ref="I5:J5"/>
    <mergeCell ref="L5:M5"/>
    <mergeCell ref="A8:D8"/>
    <mergeCell ref="I8:J8"/>
    <mergeCell ref="A9:D9"/>
    <mergeCell ref="I9:J9"/>
    <mergeCell ref="D2:H2"/>
    <mergeCell ref="I2:L2"/>
    <mergeCell ref="O2:W2"/>
    <mergeCell ref="X2:AG2"/>
    <mergeCell ref="AO2:AV2"/>
    <mergeCell ref="O3:W3"/>
    <mergeCell ref="X3:AG3"/>
    <mergeCell ref="AO3:AV3"/>
  </mergeCells>
  <pageMargins left="0.195833333333333" right="0.195833333333333" top="0.195833333333333" bottom="0.195833333333333" header="0" footer="0"/>
  <pageSetup paperSize="0" scale="0" fitToWidth="0" fitToHeight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B5FDF-20CC-46B8-AE93-586E5CE5005F}">
  <sheetPr codeName="Sheet1"/>
  <dimension ref="A1:F7"/>
  <sheetViews>
    <sheetView workbookViewId="0"/>
  </sheetViews>
  <sheetFormatPr defaultRowHeight="12.75" x14ac:dyDescent="0.2"/>
  <sheetData>
    <row r="1" spans="1:6" x14ac:dyDescent="0.2">
      <c r="A1" t="s">
        <v>27</v>
      </c>
      <c r="B1" t="s">
        <v>28</v>
      </c>
      <c r="C1" t="s">
        <v>29</v>
      </c>
    </row>
    <row r="2" spans="1:6" x14ac:dyDescent="0.2">
      <c r="A2" t="s">
        <v>187</v>
      </c>
      <c r="B2" t="s">
        <v>32</v>
      </c>
      <c r="C2" s="1">
        <v>46104.616666666669</v>
      </c>
    </row>
    <row r="5" spans="1:6" x14ac:dyDescent="0.2">
      <c r="A5" t="s">
        <v>30</v>
      </c>
      <c r="B5" t="s">
        <v>31</v>
      </c>
      <c r="D5" t="s">
        <v>42</v>
      </c>
      <c r="E5" t="s">
        <v>43</v>
      </c>
      <c r="F5" t="s">
        <v>44</v>
      </c>
    </row>
    <row r="6" spans="1:6" x14ac:dyDescent="0.2">
      <c r="A6" t="s">
        <v>32</v>
      </c>
      <c r="B6" t="s">
        <v>40</v>
      </c>
      <c r="D6" t="s">
        <v>32</v>
      </c>
      <c r="E6" t="s">
        <v>45</v>
      </c>
      <c r="F6" s="1">
        <v>46101.553472222222</v>
      </c>
    </row>
    <row r="7" spans="1:6" x14ac:dyDescent="0.2">
      <c r="D7" t="s">
        <v>32</v>
      </c>
      <c r="E7" t="s">
        <v>182</v>
      </c>
      <c r="F7" s="1">
        <v>46104.609722222223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Utility Panel</vt:lpstr>
      <vt:lpstr>Delivery List</vt:lpstr>
      <vt:lpstr>Staging - Airport Rd</vt:lpstr>
      <vt:lpstr>Outbound - Airport Rd</vt:lpstr>
      <vt:lpstr>Inbound - Indian Trail</vt:lpstr>
      <vt:lpstr>Inbound - Greenville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Daniel McAbee</dc:creator>
  <dc:description>Powered by Crystal</dc:description>
  <cp:lastModifiedBy>Daniel McAbee</cp:lastModifiedBy>
  <cp:lastPrinted>2026-03-16T19:53:50Z</cp:lastPrinted>
  <dcterms:created xsi:type="dcterms:W3CDTF">2026-03-06T14:54:10Z</dcterms:created>
  <dcterms:modified xsi:type="dcterms:W3CDTF">2026-03-23T18:52:14Z</dcterms:modified>
</cp:coreProperties>
</file>